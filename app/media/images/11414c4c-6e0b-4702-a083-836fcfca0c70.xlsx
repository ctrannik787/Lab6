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Учеба\математика\мат. статистика\"/>
    </mc:Choice>
  </mc:AlternateContent>
  <xr:revisionPtr revIDLastSave="0" documentId="13_ncr:1_{E93C4115-062D-4CDA-A1BF-E735B79AC4A3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Лист1" sheetId="1" r:id="rId1"/>
    <sheet name="№1.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2" l="1"/>
  <c r="F19" i="2"/>
  <c r="G13" i="2"/>
  <c r="G16" i="2"/>
  <c r="G15" i="2"/>
  <c r="G14" i="2"/>
  <c r="G12" i="2"/>
  <c r="G11" i="2"/>
  <c r="G8" i="2"/>
  <c r="G6" i="2"/>
  <c r="G7" i="2"/>
  <c r="G10" i="2"/>
  <c r="G17" i="2"/>
  <c r="G9" i="2"/>
  <c r="G5" i="2"/>
  <c r="H6" i="2"/>
  <c r="H10" i="2"/>
  <c r="H14" i="2"/>
  <c r="H11" i="2"/>
  <c r="H15" i="2"/>
  <c r="H8" i="2"/>
  <c r="H12" i="2"/>
  <c r="H16" i="2"/>
  <c r="H9" i="2"/>
  <c r="H13" i="2"/>
  <c r="H17" i="2"/>
  <c r="H7" i="2"/>
  <c r="H5" i="2"/>
  <c r="C1" i="2" l="1"/>
  <c r="F1" i="2"/>
  <c r="F2" i="2" l="1"/>
</calcChain>
</file>

<file path=xl/sharedStrings.xml><?xml version="1.0" encoding="utf-8"?>
<sst xmlns="http://schemas.openxmlformats.org/spreadsheetml/2006/main" count="58" uniqueCount="52">
  <si>
    <t>0.36; 1.11; -0.27; -1.18; -0.75; 1.27; -0.25; 0.77; -0.2; 0.99; -1.33; -1.17; -1.29; -0.62; 0.07; -0.11; -0.25; 2.15; -0.32; 3.46; -1.8; 1.84; 0.43; -3.12; -0.16; level; -0.25; 2.22; 0.35; -0.39; 1.88; 1.04; -0.09; -0.21; -1.37; -0.89; 1.15; -0.72; 0.02; 1.56; -1.69; 0.75; -0.46; 0.08; -0.01; 1.02; -0.06; 1.6; -0.82; -0.29; 2.13; equal; -0.4; 1.42; 2.41; -1.65; 2.31; 0.54; 0.49; 1.86; 0.66; -1.36; 1.59; -0.94; -0.52; 0.01; 0.14; -0.97; 0.03; -0.42; -0.15; -0.92; 0.7; 1.38; -1.2; 0.06; 0.6; 0.67; -0.82; -0.4; 0.65; 0.57; 1.43; -0.21; 0.07; -0.18; -0.69; -0.71; -0.16; -0.89; 2; 1.11; -0.91; 0.35; -0.44; -1.18; 1.96; 1.13; -1.62; -0.63; -2.03; 1.52; 0.86; -1.51; -0.03; -1.15; 0.41; -1.75; -1.87; 0.19; -1.03; -1.21; -0.47; 0.83; 0.89; -0.52; -0.87; 2.37; -1.44; -0.89; 1.52; 0.84; -1.14; -1.13; -0.67; root; -1.38; -1.04; -0.25; 0.2; 0.28; 0.62; 0.04; -0.03; 0.07; -0.44; 0.91; -0.44; 1.06; -0.35; -0.34; -1.07; -0.49; -0.22; 1.58; 1.46; -0.01; 1.16; 0.71; -1.23; 0.5; 0.87; -0.07; 0.96; -0.43; 0.83; 2.08; 0.08; -0.34; 0.04; 0.56; 0.28; -0.16; 0.3; 0; -0.07; 1.31; -1.37; 1.45; -0.79; -0.94; -0.61; 1.07; 0.62; -0.65; -2.32; -0.45; 0.05; -0.44; -0.66; 1.05; -1.74; 0.48; -1.13; -0.5; -0.82; 1.38; -1.26; -2.5; -1.59; 0.37; -1.01; -1.17; 1.46; 0.52; 0.35; -1.11; 1.27; -0.02; 0.97; -1.37; -0.32; 2.35; -2.07; -0.31; 0.95; 1.88; 1.05; 0.8; 0.17; 0.6; -2.17; -0.8; 0.4; -1.64; -0.37; -1.31; 0.04; -0.55; 2.07; -0.7; -1.17; -1.5; -0.16; -0.43; 0.4; NA; -1.29; -0.64; -0.5; 0.32; 0.63; 0.04; -1.1; 1.12; 1.15; -0.21; -0.45; 0.63; 1.62; 1.12; 0.92; -0.92; -0.89; 0.36; 1.07; -1.64; 1.56; 0.56; -0.81; 0.43; 0.92; -0.64; 0.13; -0.66; -0.43; 1.3; -1.43; -0.12; 0.7; -2.69; -0.95; -1.63; -2.67; 0.72; NA; -0.45; -1.29; 2.49; NA; 0.67; 0.2; -0.16; 1.36; -0.17; 0.87; less; -0.74; 0.01; -1.62; 0.03; -1.83; -0.26; 1.11; -0.83; -2.35; 2.27; 0.45; 1.25; -0.79; -1.22; -1.56; 1.19; 1.96; -1.12; -0.18; -3.27; 0.15; -0.4; 0.3; 0.45; -0.77; -0.56; -0.3; 0.99; -2.17; 1.88; -0.59; 1.07; -0.27; NA; 0.47; 2.4; 2.9; 1.68; -1.09; -0.72; 0.42; 0.7; 0.25; -0.34; -0.83; -0.7; -0.34; 0.07; -0.98; -1.81; 0.67; -2.24; 2.86; -0.46; 0.75; 0.5; -0.22; -0.22; 0.99; 1.7; -1; greater; -0.2; -1.87; two; -1.23; -1.32; -0.71; -0.12; -0.33; 0.39; 1.94; 0.68; 1.02; 0.03; 0.67; -0.19; -0.79; 0.25; -2.13; 0.97; -0.7; -0.16; 0.16; -1.78; -2.4; -1.49; -1.34; 0.06; 1.1; -0.22; -0.64; -0.93; 0.66; -0.72; -0.5; 1.21; -0.3; 0.48; 1.55; -0.84; -0.24; 0.09; 0.19; 0.73; -1.28; -1.02; 1.14; 2.22; 0.52; -0.38; -0.47; 1.76; -0.83; -0.98; ten; 2.11; 0.16; -0.41; 0.49; -0.83; 0.67; -0.44; -1.48; -1.34; -0.63; -1.05; 1.18; -2.32; 0.94; -0.04; -0.45; 1.01; -0.86; -0.24; 2.09; -1.57; -0.45; -0.65; 0.5; -0.14; -1.19; -0.68; 1.05; -2.3; 0.81; 0.47; -0.15; -0.43; -0.41; -0.98; -3.22; -1.47; 0.89; -0.26; -0.9; 0.43; 0.06; -1.59; -1.14; -1.08; -0.94; -1.55; -3.35; -0.07; 0.51; eight; -0.6; 0.79; -2.61; 0.52; 0.34; 0.55; 2.12; -2.14; NA; 0.77; 0.83; -1.44; -1.7; 1.53; -0.47; 0.13; -0.49; -0.03; -2.16; -1.49; 1.63; -0.44; -0.99; -3.29; -2.54; 0.06; -0.75; 0.14; 3.39; 1.63; -0.55; beta; 0.42; -0.41; 0.17; -0.4; 1.39; -0.21; -2.49; 0.15; -2.38; seven; -0.94; 0.07; 1.26; -0.97; -0.21; 0.18; 1.08; -1.79; 1.59; -0.95; 0.68; -2.35; -1; -1; 0.65; -0.95; NA; 0.69; -0.29; -0.02; 1; 0.73; -0.86; -0.77; 0.46; -1.88; -0.97; 0.98; 1.62; 0.33; -0.35; -0.92; 0.63; 2.21; -0.05; 0.62; -0.68; 0.1; 0.15; 0.04; -1.03; 1.58; 1.49; -3.12; -1.63; 1.1; -1.07; 0.18; -2.02; -0.03; 1.39; -2.8; -0.29; -0.54; -2.28; -2.85; 0.63; -0.83; -0.27; 0.7; -0.31; 0.93; 1.58</t>
  </si>
  <si>
    <t>Выборка для задачи 1.1.</t>
  </si>
  <si>
    <t>{(105.778,223.607); (185.11,221.848); (150.942,221.996); (453.721,223.128); (192.144,221.075); (110.488,223.486); (-11.872,222.08); (243.252,221.56); (309.897,221.751); (189.744,222.39); (115.177,221.757); (135.002,221.412); (188.32,223.009); (314.081,221.212); (223.499,222.052); (206.301,223.773); (311.272,223.014); (318.711,221.446); (34.189,221.439); (92.53,224.239); (273.129,220.9); (205.171,222.683); (NA,222.052); (56.683,221.921); (298.954,221.68); (254.97,220.84); (285.866,221.677); (82.847,222.35); (194.526,222.008); (93.438,224.42); (201.518,221.611); (222.61,221.927); (533.657,222.73); (288.74,222.963); (277.599,221.284); (204.701,220.619); (273.522,223.289); (232.788,221.455); (252.252,221.361); (119.211,223.492); (272.35,221.826); (271.249,223.745); (226.578,222.228); (357.054,221.333); (213.794,220.795); (467.418,221.191); (156.394,222.573); (273.292,223.366); (170.174,222.632); (292.895,223.878); (128.605,222.146); (86.655,220.834); (331.563,223.214); (180.669,219.398); (129.783,221.481); (277.624,223.108); (87.832,221.869); (434.949,221.959); (139.814,222.946); (280.128,223.334); (380.83,222.279); (306.71,223.141); (258.756,221.49); (197.933,223.595); (269.616,222.006); (222.565,224.491); (50.665,222.426); (294.121,223.078); (116.905,222.978); (346.883,222.391); (295.515,220.904); (369.494,221.708); (109.354,221.878); (497.459,220.593); (166.58,222.88); (69.312,221.827); (352.599,220.52); (274.92,222.397); (141.526,221.253); (381.377,223.57); (230.439,221.023); (341.416,222.901); (265.578,222.098); (187.487,223.599); (324.397,221.467); (229.988,221.79); (370.03,222.01); (-29.371,221.556); (276.828,223.955); (81.226,221.347); (196.314,222.465); (234.186,221.466); (447.368,222.136); (159.157,220.976); (22.31,223.386); (161.291,222.125); (287.097,222.446); (244.713,221.685); (78.236,222.135); (224.412,223.457); (46.94,222.471); (103.449,221.741); (417.73,NA); (270.404,222.443); (199.678,222.288); (450.386,221.901); (197.744,222.895); (211.106,222.563); (NA,221.381); (318.357,221.626); (158.118,223.863); (174.607,222.835); (266.887,223.865); (307.295,222.244); (230.252,221.92); (130.721,222.253); (78.78,223.976); (318.088,224.297); (206.743,223.7); (24.845,224.065); (188.842,222.964); (265.428,223.945); (258.278,220.882); (279.557,221.765); (277.886,221.84); (457.112,223.971); (331.815,223.389); (237.793,221.355); (294.952,220.267); (26.847,222.408); (264.307,221.822); (235.326,222.739); (215.267,223.039); (216.207,221.001); (301.175,221.292); (222.168,223.671); (308.694,220.938); (119.858,224.226); (191.647,222.624); (222.719,224.243); (290.665,223.565); (229.51,222.481); (173.352,223.807); (259.603,222.159); (216.068,NA); (-23.412,222.364); (143.535,221.94); (348.892,220.882); (293.862,222.275); (181.55,223.654); (170.36,222.831); (329.432,222.398); (166.507,221.699); (250.655,223.231); (180.446,223.548); (53.928,222.387); (176.66,221.323); (79.364,221.791); (318.778,222.155); (280.339,222.349); (241.868,222.083); (106.582,221.279); (213.546,222.554); (161.135,221.706); (360.783,220.569); (182.264,222.687); (315.677,222.044); (219.243,220.945); (302.177,222.432); (182.473,223.286); (245.658,NA); (177.384,222.233); (334.303,221.835); (429.394,221.611); (178.609,222.311); (178.141,221.87); (201.061,223.217); (284.382,221.111); (218.752,223.627); (182.437,222.085); (NA,222.009); (204.168,221.569); (209.914,221.315); (223.865,221.591); (122.692,220.141); (246.557,221.317); (399.384,223.418); (196.922,222.182); (328.86,222.896); (185.262,224.599); (385.323,222.412); (145.564,222.445); (286.625,222.156); (201.19,220.972); (353.043,221.212); (197.633,221.756); (152.917,221.772); (107.996,220.946); (178.45,221.345); (167.226,222.719); (60.112,222.704); (119.367,222.33); (266.883,221.702); (277.03,224.916); (214.101,221.632); (158.002,222.646); (119.069,221.169); (233.883,224.319); (128.691,220.95); (246.68,224.049); (166.518,221.799); (316.335,222.214); (78.484,221.637); (313.194,221.006); (195.564,222.19); (524.176,222.057); (159.078,222.099); (100.113,221.03); (212.289,221.992); (331.659,222.914); (286.667,221.652); (297.75,222.574); (NA,219.923); (179.716,222.839); (232.265,222.405); (201.948,222.567); (278.676,222.937); (210.023,222.542); (159.12,221.571); (108.593,221.934); (226.299,222.808); (221.509,221.218); (267.333,220.857); (239.524,221.318); (279.195,223.633); (220.52,223.02); (170.363,223.799); (144.255,222.073); (385.814,221.202); (244.801,222.456); (274.702,222.012); (329.413,221.578); (191.278,222.349); (231.964,222.039); (238.246,223.753); (379.102,222.882); (74.95,222.487); (375.426,221.578); (162.175,222.919); (325.727,222.668); (17.052,221.287); (451.138,222.523); (145.428,221.596); (240.893,220.485); (297.362,222.669); (276.294,221.038); (159.164,221.954); (42.023,221.551); (232.193,221.831); (156.879,222.848); (395.301,222.8); (196.415,221.085); (209.428,221.63); (448.787,222.37); (221.67,221.559); (-6.055,222.555); (271.976,221.844); (90.458,221.016); (191.04,221.374); (300.854,221.706); (270.228,222.161); (252.711,223.26); (267.963,221.281); (209.271,222.9); (256.979,223.718); (241.46,222.125); (365.366,221.529); (418.722,223.145); (243.77,220.736); (300.526,221.969); (337.545,223.171)}.</t>
  </si>
  <si>
    <t>Выборка для задачи 1.2.</t>
  </si>
  <si>
    <t xml:space="preserve">2, 5, 0, 1, 6, 3, 0, 1, 5, 4, 0, 3, 3, 2, 1, 4, 0, 0, 2, 3, 6 ,0, 3, 0, 1. </t>
  </si>
  <si>
    <t>Выборка для задачи 3.</t>
  </si>
  <si>
    <t>47,0; 37,2; 52,4; 62,8; 62,0; 67,3; 28,2; 47,7; 61,0; 39,1; 43,1; 33,1; 31,5; 40,2; 42,3; 28,8; 44,3; 46,0; 51,3; 46,3; 46,7; 46,3; 63,4; 49,1; 48,1; 44,9; 69,7; 58,7; 73,8; 43,5; 66,6; 33,9; 55,4; 59,0; 69,2; 49,2; 44,8; 56,8; 46,2; 57,6; 35,6; 41,5; 34,8; 46,4; 49,7; 50,3; 46,8; 71,9; 32,6; 42,6; 24,2; 64,5; 37,2; 43,5; 57,6; 54,7; 58,7; 56,0; 36,3; 38,8; 56,9; 53,2; 40,6; 47,6; 51,3; 55,6; 51,4; 40,9; 68,8; 54,9; 50,7; 58,3; 58,6; 43,6; 40,8; 61,1; 38,0; 34,4; 57,1; 56,4; 72,1; 64,4; 63,0; 51,1; 50,0; 54,5; 49,7; 39,5; 32,3; 58,3; 54,4; 56,2; 52,1; 39,7; 62,4; 46,9; 41,6; 41,8; 45,7; 45,5 .</t>
  </si>
  <si>
    <t>Выборка для задачи 4.</t>
  </si>
  <si>
    <t>Задачи для самостоятельного решения:</t>
  </si>
  <si>
    <t xml:space="preserve">2,7; 3,1; 1,4; 1,6; 2,3; 3,7; 2,8; 3,5; 2,6; 1,9 </t>
  </si>
  <si>
    <t>№1</t>
  </si>
  <si>
    <t xml:space="preserve">5, 3, 2, 1, 4, 6, 3, 7, 9, 1, 3, 2, 5, 6, 8, 2, 5, 2, 3, 6, 8, 3, 4, 4, 5, 6, 5, 4,7, 5, 6, 4, 8, 7, 4, 5, 7, 8, 6, 5, 7, 5, 6, 6, 7, 3, 4, 6, 5, 4. </t>
  </si>
  <si>
    <t>№2</t>
  </si>
  <si>
    <t>16; 12; 15; 15; 23; 9; 15; 13; 14; 14; 21; 15; 14; 17; 27; 15; 16; 12; 16; 19; 14; 16; 17; 13; 14; 14.</t>
  </si>
  <si>
    <t>№4</t>
  </si>
  <si>
    <t xml:space="preserve">178, 160, 154, 183, 155, 153, 167, 186, 163, 155, 157, 175, 170, 166, 159, 173, 182, 167, 171, 169, 179, 165, 156, 179, 158, 171, 175, 173, 164, 172. </t>
  </si>
  <si>
    <t>№5</t>
  </si>
  <si>
    <t>level</t>
  </si>
  <si>
    <t>equal</t>
  </si>
  <si>
    <t>root</t>
  </si>
  <si>
    <t>NA</t>
  </si>
  <si>
    <t>less</t>
  </si>
  <si>
    <t>greater</t>
  </si>
  <si>
    <t>ten</t>
  </si>
  <si>
    <t>eight</t>
  </si>
  <si>
    <t>beta</t>
  </si>
  <si>
    <t>seven</t>
  </si>
  <si>
    <t>n1=</t>
  </si>
  <si>
    <t>нечисл</t>
  </si>
  <si>
    <t>ы</t>
  </si>
  <si>
    <t>Столбец1</t>
  </si>
  <si>
    <t>Среднее</t>
  </si>
  <si>
    <t>Стандартная ошибка</t>
  </si>
  <si>
    <t>Медиана</t>
  </si>
  <si>
    <t>Мода</t>
  </si>
  <si>
    <t>Стандартное отклонение</t>
  </si>
  <si>
    <t>Дисперсия выборки</t>
  </si>
  <si>
    <t>Эксцесс</t>
  </si>
  <si>
    <t>Асимметричность</t>
  </si>
  <si>
    <t>Интервал</t>
  </si>
  <si>
    <t>Минимум</t>
  </si>
  <si>
    <t>Максимум</t>
  </si>
  <si>
    <t>Сумма</t>
  </si>
  <si>
    <t>Счет</t>
  </si>
  <si>
    <t>mean</t>
  </si>
  <si>
    <t>E(x)</t>
  </si>
  <si>
    <t>Me</t>
  </si>
  <si>
    <t>M0</t>
  </si>
  <si>
    <t>SD</t>
  </si>
  <si>
    <t>Var</t>
  </si>
  <si>
    <t>В_кв</t>
  </si>
  <si>
    <t>Н_кв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</si>
</sst>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1" fillId="0" borderId="0" xfId="0" applyFont="1"/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Continuous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6"/>
  <sheetViews>
    <sheetView workbookViewId="0">
      <selection activeCell="A2" sqref="A2"/>
    </sheetView>
  </sheetViews>
  <sheetFormatPr defaultRowHeight="14.4" x14ac:dyDescent="0.3"/>
  <sheetData>
    <row r="1" spans="1:1" x14ac:dyDescent="0.3">
      <c r="A1" s="3" t="s">
        <v>1</v>
      </c>
    </row>
    <row r="2" spans="1:1" x14ac:dyDescent="0.3">
      <c r="A2" t="s">
        <v>0</v>
      </c>
    </row>
    <row r="5" spans="1:1" x14ac:dyDescent="0.3">
      <c r="A5" s="3" t="s">
        <v>3</v>
      </c>
    </row>
    <row r="6" spans="1:1" x14ac:dyDescent="0.3">
      <c r="A6" t="s">
        <v>2</v>
      </c>
    </row>
    <row r="8" spans="1:1" x14ac:dyDescent="0.3">
      <c r="A8" s="3" t="s">
        <v>5</v>
      </c>
    </row>
    <row r="9" spans="1:1" ht="18" x14ac:dyDescent="0.3">
      <c r="A9" s="1" t="s">
        <v>4</v>
      </c>
    </row>
    <row r="11" spans="1:1" x14ac:dyDescent="0.3">
      <c r="A11" s="3" t="s">
        <v>7</v>
      </c>
    </row>
    <row r="12" spans="1:1" x14ac:dyDescent="0.3">
      <c r="A12" t="s">
        <v>6</v>
      </c>
    </row>
    <row r="15" spans="1:1" x14ac:dyDescent="0.3">
      <c r="A15" s="3" t="s">
        <v>8</v>
      </c>
    </row>
    <row r="16" spans="1:1" x14ac:dyDescent="0.3">
      <c r="A16" s="3" t="s">
        <v>10</v>
      </c>
    </row>
    <row r="17" spans="1:1" ht="18" x14ac:dyDescent="0.35">
      <c r="A17" s="2" t="s">
        <v>9</v>
      </c>
    </row>
    <row r="19" spans="1:1" x14ac:dyDescent="0.3">
      <c r="A19" s="3" t="s">
        <v>12</v>
      </c>
    </row>
    <row r="20" spans="1:1" ht="18" x14ac:dyDescent="0.35">
      <c r="A20" s="2" t="s">
        <v>11</v>
      </c>
    </row>
    <row r="22" spans="1:1" x14ac:dyDescent="0.3">
      <c r="A22" s="3" t="s">
        <v>14</v>
      </c>
    </row>
    <row r="23" spans="1:1" x14ac:dyDescent="0.3">
      <c r="A23" t="s">
        <v>13</v>
      </c>
    </row>
    <row r="25" spans="1:1" x14ac:dyDescent="0.3">
      <c r="A25" s="3" t="s">
        <v>16</v>
      </c>
    </row>
    <row r="26" spans="1:1" ht="18" x14ac:dyDescent="0.35">
      <c r="A26" s="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D1C5F-BB75-46C7-8D3D-4CDF83942216}">
  <dimension ref="A1:K549"/>
  <sheetViews>
    <sheetView tabSelected="1" workbookViewId="0">
      <selection activeCell="K7" sqref="K7"/>
    </sheetView>
  </sheetViews>
  <sheetFormatPr defaultRowHeight="14.4" x14ac:dyDescent="0.3"/>
  <cols>
    <col min="5" max="5" width="24.109375" customWidth="1"/>
    <col min="6" max="6" width="14.109375" customWidth="1"/>
    <col min="7" max="7" width="14.21875" customWidth="1"/>
    <col min="9" max="9" width="12" customWidth="1"/>
  </cols>
  <sheetData>
    <row r="1" spans="1:11" x14ac:dyDescent="0.3">
      <c r="A1">
        <v>-3.35</v>
      </c>
      <c r="B1" t="s">
        <v>27</v>
      </c>
      <c r="C1">
        <f>COUNTA(A:A)</f>
        <v>549</v>
      </c>
      <c r="D1">
        <v>-3.35</v>
      </c>
      <c r="E1" t="s">
        <v>27</v>
      </c>
      <c r="F1">
        <f>COUNTA(D:D)</f>
        <v>533</v>
      </c>
    </row>
    <row r="2" spans="1:11" ht="15" thickBot="1" x14ac:dyDescent="0.35">
      <c r="A2">
        <v>-3.29</v>
      </c>
      <c r="D2">
        <v>-3.29</v>
      </c>
      <c r="E2" t="s">
        <v>28</v>
      </c>
      <c r="F2">
        <f>C1-F1</f>
        <v>16</v>
      </c>
    </row>
    <row r="3" spans="1:11" x14ac:dyDescent="0.3">
      <c r="A3">
        <v>-3.27</v>
      </c>
      <c r="D3">
        <v>-3.27</v>
      </c>
      <c r="E3" s="6" t="s">
        <v>30</v>
      </c>
      <c r="F3" s="6"/>
    </row>
    <row r="4" spans="1:11" x14ac:dyDescent="0.3">
      <c r="A4">
        <v>-3.22</v>
      </c>
      <c r="D4">
        <v>-3.22</v>
      </c>
      <c r="E4" s="4"/>
      <c r="F4" s="4"/>
    </row>
    <row r="5" spans="1:11" x14ac:dyDescent="0.3">
      <c r="A5">
        <v>-3.12</v>
      </c>
      <c r="D5">
        <v>-3.12</v>
      </c>
      <c r="E5" s="4" t="s">
        <v>31</v>
      </c>
      <c r="F5" s="4">
        <v>-0.10707317073170686</v>
      </c>
      <c r="G5">
        <f>AVERAGE(D:D)</f>
        <v>-0.10707317073170686</v>
      </c>
      <c r="H5" t="str">
        <f ca="1">_xlfn.FORMULATEXT(G5)</f>
        <v>=СРЗНАЧ(D:D)</v>
      </c>
      <c r="J5" t="s">
        <v>44</v>
      </c>
      <c r="K5" t="s">
        <v>45</v>
      </c>
    </row>
    <row r="6" spans="1:11" x14ac:dyDescent="0.3">
      <c r="A6">
        <v>-3.12</v>
      </c>
      <c r="D6">
        <v>-3.12</v>
      </c>
      <c r="E6" s="4" t="s">
        <v>32</v>
      </c>
      <c r="F6" s="4">
        <v>5.0676016363135026E-2</v>
      </c>
      <c r="G6">
        <f>G9/SQRT(G17)</f>
        <v>5.0676016363135026E-2</v>
      </c>
      <c r="H6" t="str">
        <f t="shared" ref="H6:H17" ca="1" si="0">_xlfn.FORMULATEXT(G6)</f>
        <v>=G9/КОРЕНЬ(G17)</v>
      </c>
    </row>
    <row r="7" spans="1:11" x14ac:dyDescent="0.3">
      <c r="A7">
        <v>-2.85</v>
      </c>
      <c r="D7">
        <v>-2.85</v>
      </c>
      <c r="E7" s="4" t="s">
        <v>33</v>
      </c>
      <c r="F7" s="4">
        <v>-0.16</v>
      </c>
      <c r="G7">
        <f>MEDIAN(D:D)</f>
        <v>-0.16</v>
      </c>
      <c r="H7" t="str">
        <f t="shared" ca="1" si="0"/>
        <v>=МЕДИАНА(D:D)</v>
      </c>
      <c r="J7" t="s">
        <v>46</v>
      </c>
    </row>
    <row r="8" spans="1:11" x14ac:dyDescent="0.3">
      <c r="A8">
        <v>-2.8</v>
      </c>
      <c r="D8">
        <v>-2.8</v>
      </c>
      <c r="E8" s="4" t="s">
        <v>34</v>
      </c>
      <c r="F8" s="4">
        <v>-0.44</v>
      </c>
      <c r="G8">
        <f>MODE(D:D)</f>
        <v>-0.44</v>
      </c>
      <c r="H8" t="str">
        <f t="shared" ca="1" si="0"/>
        <v>=МОДА(D:D)</v>
      </c>
      <c r="J8" t="s">
        <v>47</v>
      </c>
    </row>
    <row r="9" spans="1:11" x14ac:dyDescent="0.3">
      <c r="A9">
        <v>-2.69</v>
      </c>
      <c r="D9">
        <v>-2.69</v>
      </c>
      <c r="E9" s="4" t="s">
        <v>35</v>
      </c>
      <c r="F9" s="4">
        <v>1.1699466877404185</v>
      </c>
      <c r="G9">
        <f>_xlfn.STDEV.S(D:D)</f>
        <v>1.1699466877404185</v>
      </c>
      <c r="H9" t="str">
        <f t="shared" ca="1" si="0"/>
        <v>=СТАНДОТКЛОН.В(D:D)</v>
      </c>
      <c r="J9" t="s">
        <v>48</v>
      </c>
    </row>
    <row r="10" spans="1:11" x14ac:dyDescent="0.3">
      <c r="A10">
        <v>-2.67</v>
      </c>
      <c r="D10">
        <v>-2.67</v>
      </c>
      <c r="E10" s="4" t="s">
        <v>36</v>
      </c>
      <c r="F10" s="4">
        <v>1.3687752521547765</v>
      </c>
      <c r="G10">
        <f>_xlfn.VAR.S(D:D)</f>
        <v>1.3687752521547765</v>
      </c>
      <c r="H10" t="str">
        <f t="shared" ca="1" si="0"/>
        <v>=ДИСП.В(D:D)</v>
      </c>
      <c r="J10" t="s">
        <v>49</v>
      </c>
    </row>
    <row r="11" spans="1:11" x14ac:dyDescent="0.3">
      <c r="A11">
        <v>-2.61</v>
      </c>
      <c r="D11">
        <v>-2.61</v>
      </c>
      <c r="E11" s="4" t="s">
        <v>37</v>
      </c>
      <c r="F11" s="4">
        <v>5.0820937059943727E-2</v>
      </c>
      <c r="G11">
        <f>KURT(D:D)</f>
        <v>5.0820937059943727E-2</v>
      </c>
      <c r="H11" t="str">
        <f t="shared" ca="1" si="0"/>
        <v>=ЭКСЦЕСС(D:D)</v>
      </c>
    </row>
    <row r="12" spans="1:11" x14ac:dyDescent="0.3">
      <c r="A12">
        <v>-2.54</v>
      </c>
      <c r="D12">
        <v>-2.54</v>
      </c>
      <c r="E12" s="4" t="s">
        <v>38</v>
      </c>
      <c r="F12" s="4">
        <v>-2.806538361044227E-3</v>
      </c>
      <c r="G12">
        <f>SKEW(D:D)</f>
        <v>-2.806538361044227E-3</v>
      </c>
      <c r="H12" t="str">
        <f t="shared" ca="1" si="0"/>
        <v>=СКОС(D:D)</v>
      </c>
    </row>
    <row r="13" spans="1:11" x14ac:dyDescent="0.3">
      <c r="A13">
        <v>-2.5</v>
      </c>
      <c r="D13">
        <v>-2.5</v>
      </c>
      <c r="E13" s="4" t="s">
        <v>39</v>
      </c>
      <c r="F13" s="4">
        <v>6.8100000000000005</v>
      </c>
      <c r="G13">
        <f>F15-F14</f>
        <v>6.8100000000000005</v>
      </c>
      <c r="H13" t="str">
        <f t="shared" ca="1" si="0"/>
        <v>=F15-F14</v>
      </c>
    </row>
    <row r="14" spans="1:11" x14ac:dyDescent="0.3">
      <c r="A14">
        <v>-2.4900000000000002</v>
      </c>
      <c r="D14">
        <v>-2.4900000000000002</v>
      </c>
      <c r="E14" s="4" t="s">
        <v>40</v>
      </c>
      <c r="F14" s="4">
        <v>-3.35</v>
      </c>
      <c r="G14">
        <f>MIN(D:D)</f>
        <v>-3.35</v>
      </c>
      <c r="H14" t="str">
        <f t="shared" ca="1" si="0"/>
        <v>=МИН(D:D)</v>
      </c>
    </row>
    <row r="15" spans="1:11" x14ac:dyDescent="0.3">
      <c r="A15">
        <v>-2.4</v>
      </c>
      <c r="D15">
        <v>-2.4</v>
      </c>
      <c r="E15" s="4" t="s">
        <v>41</v>
      </c>
      <c r="F15" s="4">
        <v>3.46</v>
      </c>
      <c r="G15">
        <f>MAX(D:D)</f>
        <v>3.46</v>
      </c>
      <c r="H15" t="str">
        <f t="shared" ca="1" si="0"/>
        <v>=МАКС(D:D)</v>
      </c>
    </row>
    <row r="16" spans="1:11" x14ac:dyDescent="0.3">
      <c r="A16">
        <v>-2.38</v>
      </c>
      <c r="D16">
        <v>-2.38</v>
      </c>
      <c r="E16" s="4" t="s">
        <v>42</v>
      </c>
      <c r="F16" s="4">
        <v>-57.069999999999752</v>
      </c>
      <c r="G16">
        <f>SUM(D:D)</f>
        <v>-57.069999999999752</v>
      </c>
      <c r="H16" t="str">
        <f t="shared" ca="1" si="0"/>
        <v>=СУММ(D:D)</v>
      </c>
    </row>
    <row r="17" spans="1:8" ht="15" thickBot="1" x14ac:dyDescent="0.35">
      <c r="A17">
        <v>-2.35</v>
      </c>
      <c r="D17">
        <v>-2.35</v>
      </c>
      <c r="E17" s="5" t="s">
        <v>43</v>
      </c>
      <c r="F17" s="5">
        <v>533</v>
      </c>
      <c r="G17">
        <f>COUNT(D:D)</f>
        <v>533</v>
      </c>
      <c r="H17" t="str">
        <f t="shared" ca="1" si="0"/>
        <v>=СЧЁТ(D:D)</v>
      </c>
    </row>
    <row r="18" spans="1:8" x14ac:dyDescent="0.3">
      <c r="A18">
        <v>-2.35</v>
      </c>
      <c r="D18">
        <v>-2.35</v>
      </c>
      <c r="F18">
        <v>0</v>
      </c>
    </row>
    <row r="19" spans="1:8" x14ac:dyDescent="0.3">
      <c r="A19">
        <v>-2.3199999999999998</v>
      </c>
      <c r="D19">
        <v>-2.3199999999999998</v>
      </c>
      <c r="E19" t="s">
        <v>50</v>
      </c>
      <c r="F19">
        <f>_xlfn.QUARTILE.INC(D:D,3)</f>
        <v>0.68</v>
      </c>
    </row>
    <row r="20" spans="1:8" x14ac:dyDescent="0.3">
      <c r="A20">
        <v>-2.3199999999999998</v>
      </c>
      <c r="D20">
        <v>-2.3199999999999998</v>
      </c>
      <c r="E20" t="s">
        <v>51</v>
      </c>
      <c r="F20">
        <f>_xlfn.QUARTILE.INC(D:D,1)</f>
        <v>-0.89</v>
      </c>
    </row>
    <row r="21" spans="1:8" x14ac:dyDescent="0.3">
      <c r="A21">
        <v>-2.2999999999999998</v>
      </c>
      <c r="D21">
        <v>-2.2999999999999998</v>
      </c>
    </row>
    <row r="22" spans="1:8" x14ac:dyDescent="0.3">
      <c r="A22">
        <v>-2.2799999999999998</v>
      </c>
      <c r="D22">
        <v>-2.2799999999999998</v>
      </c>
    </row>
    <row r="23" spans="1:8" x14ac:dyDescent="0.3">
      <c r="A23">
        <v>-2.2400000000000002</v>
      </c>
      <c r="D23">
        <v>-2.2400000000000002</v>
      </c>
    </row>
    <row r="24" spans="1:8" x14ac:dyDescent="0.3">
      <c r="A24">
        <v>-2.17</v>
      </c>
      <c r="D24">
        <v>-2.17</v>
      </c>
    </row>
    <row r="25" spans="1:8" x14ac:dyDescent="0.3">
      <c r="A25">
        <v>-2.17</v>
      </c>
      <c r="D25">
        <v>-2.17</v>
      </c>
    </row>
    <row r="26" spans="1:8" x14ac:dyDescent="0.3">
      <c r="A26">
        <v>-2.16</v>
      </c>
      <c r="D26">
        <v>-2.16</v>
      </c>
    </row>
    <row r="27" spans="1:8" x14ac:dyDescent="0.3">
      <c r="A27">
        <v>-2.14</v>
      </c>
      <c r="D27">
        <v>-2.14</v>
      </c>
    </row>
    <row r="28" spans="1:8" x14ac:dyDescent="0.3">
      <c r="A28">
        <v>-2.13</v>
      </c>
      <c r="D28">
        <v>-2.13</v>
      </c>
    </row>
    <row r="29" spans="1:8" x14ac:dyDescent="0.3">
      <c r="A29">
        <v>-2.0699999999999998</v>
      </c>
      <c r="D29">
        <v>-2.0699999999999998</v>
      </c>
    </row>
    <row r="30" spans="1:8" x14ac:dyDescent="0.3">
      <c r="A30">
        <v>-2.0299999999999998</v>
      </c>
      <c r="D30">
        <v>-2.0299999999999998</v>
      </c>
    </row>
    <row r="31" spans="1:8" x14ac:dyDescent="0.3">
      <c r="A31">
        <v>-2.02</v>
      </c>
      <c r="D31">
        <v>-2.02</v>
      </c>
    </row>
    <row r="32" spans="1:8" x14ac:dyDescent="0.3">
      <c r="A32">
        <v>-1.88</v>
      </c>
      <c r="D32">
        <v>-1.88</v>
      </c>
    </row>
    <row r="33" spans="1:4" x14ac:dyDescent="0.3">
      <c r="A33">
        <v>-1.87</v>
      </c>
      <c r="D33">
        <v>-1.87</v>
      </c>
    </row>
    <row r="34" spans="1:4" x14ac:dyDescent="0.3">
      <c r="A34">
        <v>-1.87</v>
      </c>
      <c r="D34">
        <v>-1.87</v>
      </c>
    </row>
    <row r="35" spans="1:4" x14ac:dyDescent="0.3">
      <c r="A35">
        <v>-1.83</v>
      </c>
      <c r="D35">
        <v>-1.83</v>
      </c>
    </row>
    <row r="36" spans="1:4" x14ac:dyDescent="0.3">
      <c r="A36">
        <v>-1.81</v>
      </c>
      <c r="D36">
        <v>-1.81</v>
      </c>
    </row>
    <row r="37" spans="1:4" x14ac:dyDescent="0.3">
      <c r="A37">
        <v>-1.8</v>
      </c>
      <c r="D37">
        <v>-1.8</v>
      </c>
    </row>
    <row r="38" spans="1:4" x14ac:dyDescent="0.3">
      <c r="A38">
        <v>-1.79</v>
      </c>
      <c r="D38">
        <v>-1.79</v>
      </c>
    </row>
    <row r="39" spans="1:4" x14ac:dyDescent="0.3">
      <c r="A39">
        <v>-1.78</v>
      </c>
      <c r="D39">
        <v>-1.78</v>
      </c>
    </row>
    <row r="40" spans="1:4" x14ac:dyDescent="0.3">
      <c r="A40">
        <v>-1.75</v>
      </c>
      <c r="D40">
        <v>-1.75</v>
      </c>
    </row>
    <row r="41" spans="1:4" x14ac:dyDescent="0.3">
      <c r="A41">
        <v>-1.74</v>
      </c>
      <c r="D41">
        <v>-1.74</v>
      </c>
    </row>
    <row r="42" spans="1:4" x14ac:dyDescent="0.3">
      <c r="A42">
        <v>-1.7</v>
      </c>
      <c r="D42">
        <v>-1.7</v>
      </c>
    </row>
    <row r="43" spans="1:4" x14ac:dyDescent="0.3">
      <c r="A43">
        <v>-1.69</v>
      </c>
      <c r="D43">
        <v>-1.69</v>
      </c>
    </row>
    <row r="44" spans="1:4" x14ac:dyDescent="0.3">
      <c r="A44">
        <v>-1.65</v>
      </c>
      <c r="D44">
        <v>-1.65</v>
      </c>
    </row>
    <row r="45" spans="1:4" x14ac:dyDescent="0.3">
      <c r="A45">
        <v>-1.64</v>
      </c>
      <c r="D45">
        <v>-1.64</v>
      </c>
    </row>
    <row r="46" spans="1:4" x14ac:dyDescent="0.3">
      <c r="A46">
        <v>-1.64</v>
      </c>
      <c r="D46">
        <v>-1.64</v>
      </c>
    </row>
    <row r="47" spans="1:4" x14ac:dyDescent="0.3">
      <c r="A47">
        <v>-1.63</v>
      </c>
      <c r="D47">
        <v>-1.63</v>
      </c>
    </row>
    <row r="48" spans="1:4" x14ac:dyDescent="0.3">
      <c r="A48">
        <v>-1.63</v>
      </c>
      <c r="D48">
        <v>-1.63</v>
      </c>
    </row>
    <row r="49" spans="1:4" x14ac:dyDescent="0.3">
      <c r="A49">
        <v>-1.62</v>
      </c>
      <c r="D49">
        <v>-1.62</v>
      </c>
    </row>
    <row r="50" spans="1:4" x14ac:dyDescent="0.3">
      <c r="A50">
        <v>-1.62</v>
      </c>
      <c r="D50">
        <v>-1.62</v>
      </c>
    </row>
    <row r="51" spans="1:4" x14ac:dyDescent="0.3">
      <c r="A51">
        <v>-1.59</v>
      </c>
      <c r="D51">
        <v>-1.59</v>
      </c>
    </row>
    <row r="52" spans="1:4" x14ac:dyDescent="0.3">
      <c r="A52">
        <v>-1.59</v>
      </c>
      <c r="D52">
        <v>-1.59</v>
      </c>
    </row>
    <row r="53" spans="1:4" x14ac:dyDescent="0.3">
      <c r="A53">
        <v>-1.57</v>
      </c>
      <c r="D53">
        <v>-1.57</v>
      </c>
    </row>
    <row r="54" spans="1:4" x14ac:dyDescent="0.3">
      <c r="A54">
        <v>-1.56</v>
      </c>
      <c r="D54">
        <v>-1.56</v>
      </c>
    </row>
    <row r="55" spans="1:4" x14ac:dyDescent="0.3">
      <c r="A55">
        <v>-1.55</v>
      </c>
      <c r="D55">
        <v>-1.55</v>
      </c>
    </row>
    <row r="56" spans="1:4" x14ac:dyDescent="0.3">
      <c r="A56">
        <v>-1.51</v>
      </c>
      <c r="D56">
        <v>-1.51</v>
      </c>
    </row>
    <row r="57" spans="1:4" x14ac:dyDescent="0.3">
      <c r="A57">
        <v>-1.5</v>
      </c>
      <c r="D57">
        <v>-1.5</v>
      </c>
    </row>
    <row r="58" spans="1:4" x14ac:dyDescent="0.3">
      <c r="A58">
        <v>-1.49</v>
      </c>
      <c r="D58">
        <v>-1.49</v>
      </c>
    </row>
    <row r="59" spans="1:4" x14ac:dyDescent="0.3">
      <c r="A59">
        <v>-1.49</v>
      </c>
      <c r="D59">
        <v>-1.49</v>
      </c>
    </row>
    <row r="60" spans="1:4" x14ac:dyDescent="0.3">
      <c r="A60">
        <v>-1.48</v>
      </c>
      <c r="D60">
        <v>-1.48</v>
      </c>
    </row>
    <row r="61" spans="1:4" x14ac:dyDescent="0.3">
      <c r="A61">
        <v>-1.47</v>
      </c>
      <c r="D61">
        <v>-1.47</v>
      </c>
    </row>
    <row r="62" spans="1:4" x14ac:dyDescent="0.3">
      <c r="A62">
        <v>-1.44</v>
      </c>
      <c r="D62">
        <v>-1.44</v>
      </c>
    </row>
    <row r="63" spans="1:4" x14ac:dyDescent="0.3">
      <c r="A63">
        <v>-1.44</v>
      </c>
      <c r="D63">
        <v>-1.44</v>
      </c>
    </row>
    <row r="64" spans="1:4" x14ac:dyDescent="0.3">
      <c r="A64">
        <v>-1.43</v>
      </c>
      <c r="D64">
        <v>-1.43</v>
      </c>
    </row>
    <row r="65" spans="1:4" x14ac:dyDescent="0.3">
      <c r="A65">
        <v>-1.38</v>
      </c>
      <c r="D65">
        <v>-1.38</v>
      </c>
    </row>
    <row r="66" spans="1:4" x14ac:dyDescent="0.3">
      <c r="A66">
        <v>-1.37</v>
      </c>
      <c r="D66">
        <v>-1.37</v>
      </c>
    </row>
    <row r="67" spans="1:4" x14ac:dyDescent="0.3">
      <c r="A67">
        <v>-1.37</v>
      </c>
      <c r="D67">
        <v>-1.37</v>
      </c>
    </row>
    <row r="68" spans="1:4" x14ac:dyDescent="0.3">
      <c r="A68">
        <v>-1.37</v>
      </c>
      <c r="D68">
        <v>-1.37</v>
      </c>
    </row>
    <row r="69" spans="1:4" x14ac:dyDescent="0.3">
      <c r="A69">
        <v>-1.36</v>
      </c>
      <c r="D69">
        <v>-1.36</v>
      </c>
    </row>
    <row r="70" spans="1:4" x14ac:dyDescent="0.3">
      <c r="A70">
        <v>-1.34</v>
      </c>
      <c r="D70">
        <v>-1.34</v>
      </c>
    </row>
    <row r="71" spans="1:4" x14ac:dyDescent="0.3">
      <c r="A71">
        <v>-1.34</v>
      </c>
      <c r="D71">
        <v>-1.34</v>
      </c>
    </row>
    <row r="72" spans="1:4" x14ac:dyDescent="0.3">
      <c r="A72">
        <v>-1.33</v>
      </c>
      <c r="D72">
        <v>-1.33</v>
      </c>
    </row>
    <row r="73" spans="1:4" x14ac:dyDescent="0.3">
      <c r="A73">
        <v>-1.32</v>
      </c>
      <c r="D73">
        <v>-1.32</v>
      </c>
    </row>
    <row r="74" spans="1:4" x14ac:dyDescent="0.3">
      <c r="A74">
        <v>-1.31</v>
      </c>
      <c r="D74">
        <v>-1.31</v>
      </c>
    </row>
    <row r="75" spans="1:4" x14ac:dyDescent="0.3">
      <c r="A75">
        <v>-1.29</v>
      </c>
      <c r="D75">
        <v>-1.29</v>
      </c>
    </row>
    <row r="76" spans="1:4" x14ac:dyDescent="0.3">
      <c r="A76">
        <v>-1.29</v>
      </c>
      <c r="D76">
        <v>-1.29</v>
      </c>
    </row>
    <row r="77" spans="1:4" x14ac:dyDescent="0.3">
      <c r="A77">
        <v>-1.29</v>
      </c>
      <c r="D77">
        <v>-1.29</v>
      </c>
    </row>
    <row r="78" spans="1:4" x14ac:dyDescent="0.3">
      <c r="A78">
        <v>-1.28</v>
      </c>
      <c r="D78">
        <v>-1.28</v>
      </c>
    </row>
    <row r="79" spans="1:4" x14ac:dyDescent="0.3">
      <c r="A79">
        <v>-1.26</v>
      </c>
      <c r="D79">
        <v>-1.26</v>
      </c>
    </row>
    <row r="80" spans="1:4" x14ac:dyDescent="0.3">
      <c r="A80">
        <v>-1.23</v>
      </c>
      <c r="D80">
        <v>-1.23</v>
      </c>
    </row>
    <row r="81" spans="1:4" x14ac:dyDescent="0.3">
      <c r="A81">
        <v>-1.23</v>
      </c>
      <c r="D81">
        <v>-1.23</v>
      </c>
    </row>
    <row r="82" spans="1:4" x14ac:dyDescent="0.3">
      <c r="A82">
        <v>-1.22</v>
      </c>
      <c r="D82">
        <v>-1.22</v>
      </c>
    </row>
    <row r="83" spans="1:4" x14ac:dyDescent="0.3">
      <c r="A83">
        <v>-1.21</v>
      </c>
      <c r="D83">
        <v>-1.21</v>
      </c>
    </row>
    <row r="84" spans="1:4" x14ac:dyDescent="0.3">
      <c r="A84">
        <v>-1.2</v>
      </c>
      <c r="D84">
        <v>-1.2</v>
      </c>
    </row>
    <row r="85" spans="1:4" x14ac:dyDescent="0.3">
      <c r="A85">
        <v>-1.19</v>
      </c>
      <c r="D85">
        <v>-1.19</v>
      </c>
    </row>
    <row r="86" spans="1:4" x14ac:dyDescent="0.3">
      <c r="A86">
        <v>-1.18</v>
      </c>
      <c r="D86">
        <v>-1.18</v>
      </c>
    </row>
    <row r="87" spans="1:4" x14ac:dyDescent="0.3">
      <c r="A87">
        <v>-1.18</v>
      </c>
      <c r="D87">
        <v>-1.18</v>
      </c>
    </row>
    <row r="88" spans="1:4" x14ac:dyDescent="0.3">
      <c r="A88">
        <v>-1.17</v>
      </c>
      <c r="D88">
        <v>-1.17</v>
      </c>
    </row>
    <row r="89" spans="1:4" x14ac:dyDescent="0.3">
      <c r="A89">
        <v>-1.17</v>
      </c>
      <c r="D89">
        <v>-1.17</v>
      </c>
    </row>
    <row r="90" spans="1:4" x14ac:dyDescent="0.3">
      <c r="A90">
        <v>-1.17</v>
      </c>
      <c r="D90">
        <v>-1.17</v>
      </c>
    </row>
    <row r="91" spans="1:4" x14ac:dyDescent="0.3">
      <c r="A91">
        <v>-1.1499999999999999</v>
      </c>
      <c r="D91">
        <v>-1.1499999999999999</v>
      </c>
    </row>
    <row r="92" spans="1:4" x14ac:dyDescent="0.3">
      <c r="A92">
        <v>-1.1399999999999999</v>
      </c>
      <c r="D92">
        <v>-1.1399999999999999</v>
      </c>
    </row>
    <row r="93" spans="1:4" x14ac:dyDescent="0.3">
      <c r="A93">
        <v>-1.1399999999999999</v>
      </c>
      <c r="D93">
        <v>-1.1399999999999999</v>
      </c>
    </row>
    <row r="94" spans="1:4" x14ac:dyDescent="0.3">
      <c r="A94">
        <v>-1.1299999999999999</v>
      </c>
      <c r="D94">
        <v>-1.1299999999999999</v>
      </c>
    </row>
    <row r="95" spans="1:4" x14ac:dyDescent="0.3">
      <c r="A95">
        <v>-1.1299999999999999</v>
      </c>
      <c r="D95">
        <v>-1.1299999999999999</v>
      </c>
    </row>
    <row r="96" spans="1:4" x14ac:dyDescent="0.3">
      <c r="A96">
        <v>-1.1200000000000001</v>
      </c>
      <c r="D96">
        <v>-1.1200000000000001</v>
      </c>
    </row>
    <row r="97" spans="1:4" x14ac:dyDescent="0.3">
      <c r="A97">
        <v>-1.1100000000000001</v>
      </c>
      <c r="D97">
        <v>-1.1100000000000001</v>
      </c>
    </row>
    <row r="98" spans="1:4" x14ac:dyDescent="0.3">
      <c r="A98">
        <v>-1.1000000000000001</v>
      </c>
      <c r="D98">
        <v>-1.1000000000000001</v>
      </c>
    </row>
    <row r="99" spans="1:4" x14ac:dyDescent="0.3">
      <c r="A99">
        <v>-1.0900000000000001</v>
      </c>
      <c r="D99">
        <v>-1.0900000000000001</v>
      </c>
    </row>
    <row r="100" spans="1:4" x14ac:dyDescent="0.3">
      <c r="A100">
        <v>-1.08</v>
      </c>
      <c r="D100">
        <v>-1.08</v>
      </c>
    </row>
    <row r="101" spans="1:4" x14ac:dyDescent="0.3">
      <c r="A101">
        <v>-1.07</v>
      </c>
      <c r="D101">
        <v>-1.07</v>
      </c>
    </row>
    <row r="102" spans="1:4" x14ac:dyDescent="0.3">
      <c r="A102">
        <v>-1.07</v>
      </c>
      <c r="D102">
        <v>-1.07</v>
      </c>
    </row>
    <row r="103" spans="1:4" x14ac:dyDescent="0.3">
      <c r="A103">
        <v>-1.05</v>
      </c>
      <c r="D103">
        <v>-1.05</v>
      </c>
    </row>
    <row r="104" spans="1:4" x14ac:dyDescent="0.3">
      <c r="A104">
        <v>-1.04</v>
      </c>
      <c r="D104">
        <v>-1.04</v>
      </c>
    </row>
    <row r="105" spans="1:4" x14ac:dyDescent="0.3">
      <c r="A105">
        <v>-1.03</v>
      </c>
      <c r="D105">
        <v>-1.03</v>
      </c>
    </row>
    <row r="106" spans="1:4" x14ac:dyDescent="0.3">
      <c r="A106">
        <v>-1.03</v>
      </c>
      <c r="D106">
        <v>-1.03</v>
      </c>
    </row>
    <row r="107" spans="1:4" x14ac:dyDescent="0.3">
      <c r="A107">
        <v>-1.02</v>
      </c>
      <c r="D107">
        <v>-1.02</v>
      </c>
    </row>
    <row r="108" spans="1:4" x14ac:dyDescent="0.3">
      <c r="A108">
        <v>-1.01</v>
      </c>
      <c r="D108">
        <v>-1.01</v>
      </c>
    </row>
    <row r="109" spans="1:4" x14ac:dyDescent="0.3">
      <c r="A109">
        <v>-1</v>
      </c>
      <c r="D109">
        <v>-1</v>
      </c>
    </row>
    <row r="110" spans="1:4" x14ac:dyDescent="0.3">
      <c r="A110">
        <v>-1</v>
      </c>
      <c r="D110">
        <v>-1</v>
      </c>
    </row>
    <row r="111" spans="1:4" x14ac:dyDescent="0.3">
      <c r="A111">
        <v>-1</v>
      </c>
      <c r="D111">
        <v>-1</v>
      </c>
    </row>
    <row r="112" spans="1:4" x14ac:dyDescent="0.3">
      <c r="A112">
        <v>-0.99</v>
      </c>
      <c r="D112">
        <v>-0.99</v>
      </c>
    </row>
    <row r="113" spans="1:4" x14ac:dyDescent="0.3">
      <c r="A113">
        <v>-0.98</v>
      </c>
      <c r="D113">
        <v>-0.98</v>
      </c>
    </row>
    <row r="114" spans="1:4" x14ac:dyDescent="0.3">
      <c r="A114">
        <v>-0.98</v>
      </c>
      <c r="D114">
        <v>-0.98</v>
      </c>
    </row>
    <row r="115" spans="1:4" x14ac:dyDescent="0.3">
      <c r="A115">
        <v>-0.98</v>
      </c>
      <c r="D115">
        <v>-0.98</v>
      </c>
    </row>
    <row r="116" spans="1:4" x14ac:dyDescent="0.3">
      <c r="A116">
        <v>-0.97</v>
      </c>
      <c r="D116">
        <v>-0.97</v>
      </c>
    </row>
    <row r="117" spans="1:4" x14ac:dyDescent="0.3">
      <c r="A117">
        <v>-0.97</v>
      </c>
      <c r="D117">
        <v>-0.97</v>
      </c>
    </row>
    <row r="118" spans="1:4" x14ac:dyDescent="0.3">
      <c r="A118">
        <v>-0.97</v>
      </c>
      <c r="D118">
        <v>-0.97</v>
      </c>
    </row>
    <row r="119" spans="1:4" x14ac:dyDescent="0.3">
      <c r="A119">
        <v>-0.95</v>
      </c>
      <c r="D119">
        <v>-0.95</v>
      </c>
    </row>
    <row r="120" spans="1:4" x14ac:dyDescent="0.3">
      <c r="A120">
        <v>-0.95</v>
      </c>
      <c r="D120">
        <v>-0.95</v>
      </c>
    </row>
    <row r="121" spans="1:4" x14ac:dyDescent="0.3">
      <c r="A121">
        <v>-0.95</v>
      </c>
      <c r="D121">
        <v>-0.95</v>
      </c>
    </row>
    <row r="122" spans="1:4" x14ac:dyDescent="0.3">
      <c r="A122">
        <v>-0.94</v>
      </c>
      <c r="D122">
        <v>-0.94</v>
      </c>
    </row>
    <row r="123" spans="1:4" x14ac:dyDescent="0.3">
      <c r="A123">
        <v>-0.94</v>
      </c>
      <c r="D123">
        <v>-0.94</v>
      </c>
    </row>
    <row r="124" spans="1:4" x14ac:dyDescent="0.3">
      <c r="A124">
        <v>-0.94</v>
      </c>
      <c r="D124">
        <v>-0.94</v>
      </c>
    </row>
    <row r="125" spans="1:4" x14ac:dyDescent="0.3">
      <c r="A125">
        <v>-0.94</v>
      </c>
      <c r="D125">
        <v>-0.94</v>
      </c>
    </row>
    <row r="126" spans="1:4" x14ac:dyDescent="0.3">
      <c r="A126">
        <v>-0.93</v>
      </c>
      <c r="D126">
        <v>-0.93</v>
      </c>
    </row>
    <row r="127" spans="1:4" x14ac:dyDescent="0.3">
      <c r="A127">
        <v>-0.92</v>
      </c>
      <c r="D127">
        <v>-0.92</v>
      </c>
    </row>
    <row r="128" spans="1:4" x14ac:dyDescent="0.3">
      <c r="A128">
        <v>-0.92</v>
      </c>
      <c r="D128">
        <v>-0.92</v>
      </c>
    </row>
    <row r="129" spans="1:4" x14ac:dyDescent="0.3">
      <c r="A129">
        <v>-0.92</v>
      </c>
      <c r="D129">
        <v>-0.92</v>
      </c>
    </row>
    <row r="130" spans="1:4" x14ac:dyDescent="0.3">
      <c r="A130">
        <v>-0.91</v>
      </c>
      <c r="D130">
        <v>-0.91</v>
      </c>
    </row>
    <row r="131" spans="1:4" x14ac:dyDescent="0.3">
      <c r="A131">
        <v>-0.9</v>
      </c>
      <c r="D131">
        <v>-0.9</v>
      </c>
    </row>
    <row r="132" spans="1:4" x14ac:dyDescent="0.3">
      <c r="A132">
        <v>-0.89</v>
      </c>
      <c r="D132">
        <v>-0.89</v>
      </c>
    </row>
    <row r="133" spans="1:4" x14ac:dyDescent="0.3">
      <c r="A133">
        <v>-0.89</v>
      </c>
      <c r="D133">
        <v>-0.89</v>
      </c>
    </row>
    <row r="134" spans="1:4" x14ac:dyDescent="0.3">
      <c r="A134">
        <v>-0.89</v>
      </c>
      <c r="D134">
        <v>-0.89</v>
      </c>
    </row>
    <row r="135" spans="1:4" x14ac:dyDescent="0.3">
      <c r="A135">
        <v>-0.89</v>
      </c>
      <c r="D135">
        <v>-0.89</v>
      </c>
    </row>
    <row r="136" spans="1:4" x14ac:dyDescent="0.3">
      <c r="A136">
        <v>-0.87</v>
      </c>
      <c r="D136">
        <v>-0.87</v>
      </c>
    </row>
    <row r="137" spans="1:4" x14ac:dyDescent="0.3">
      <c r="A137">
        <v>-0.86</v>
      </c>
      <c r="D137">
        <v>-0.86</v>
      </c>
    </row>
    <row r="138" spans="1:4" x14ac:dyDescent="0.3">
      <c r="A138">
        <v>-0.86</v>
      </c>
      <c r="D138">
        <v>-0.86</v>
      </c>
    </row>
    <row r="139" spans="1:4" x14ac:dyDescent="0.3">
      <c r="A139">
        <v>-0.84</v>
      </c>
      <c r="D139">
        <v>-0.84</v>
      </c>
    </row>
    <row r="140" spans="1:4" x14ac:dyDescent="0.3">
      <c r="A140">
        <v>-0.83</v>
      </c>
      <c r="D140">
        <v>-0.83</v>
      </c>
    </row>
    <row r="141" spans="1:4" x14ac:dyDescent="0.3">
      <c r="A141">
        <v>-0.83</v>
      </c>
      <c r="D141">
        <v>-0.83</v>
      </c>
    </row>
    <row r="142" spans="1:4" x14ac:dyDescent="0.3">
      <c r="A142">
        <v>-0.83</v>
      </c>
      <c r="D142">
        <v>-0.83</v>
      </c>
    </row>
    <row r="143" spans="1:4" x14ac:dyDescent="0.3">
      <c r="A143">
        <v>-0.83</v>
      </c>
      <c r="D143">
        <v>-0.83</v>
      </c>
    </row>
    <row r="144" spans="1:4" x14ac:dyDescent="0.3">
      <c r="A144">
        <v>-0.83</v>
      </c>
      <c r="D144">
        <v>-0.83</v>
      </c>
    </row>
    <row r="145" spans="1:4" x14ac:dyDescent="0.3">
      <c r="A145">
        <v>-0.82</v>
      </c>
      <c r="D145">
        <v>-0.82</v>
      </c>
    </row>
    <row r="146" spans="1:4" x14ac:dyDescent="0.3">
      <c r="A146">
        <v>-0.82</v>
      </c>
      <c r="D146">
        <v>-0.82</v>
      </c>
    </row>
    <row r="147" spans="1:4" x14ac:dyDescent="0.3">
      <c r="A147">
        <v>-0.82</v>
      </c>
      <c r="D147">
        <v>-0.82</v>
      </c>
    </row>
    <row r="148" spans="1:4" x14ac:dyDescent="0.3">
      <c r="A148">
        <v>-0.81</v>
      </c>
      <c r="D148">
        <v>-0.81</v>
      </c>
    </row>
    <row r="149" spans="1:4" x14ac:dyDescent="0.3">
      <c r="A149">
        <v>-0.8</v>
      </c>
      <c r="D149">
        <v>-0.8</v>
      </c>
    </row>
    <row r="150" spans="1:4" x14ac:dyDescent="0.3">
      <c r="A150">
        <v>-0.79</v>
      </c>
      <c r="D150">
        <v>-0.79</v>
      </c>
    </row>
    <row r="151" spans="1:4" x14ac:dyDescent="0.3">
      <c r="A151">
        <v>-0.79</v>
      </c>
      <c r="D151">
        <v>-0.79</v>
      </c>
    </row>
    <row r="152" spans="1:4" x14ac:dyDescent="0.3">
      <c r="A152">
        <v>-0.79</v>
      </c>
      <c r="D152">
        <v>-0.79</v>
      </c>
    </row>
    <row r="153" spans="1:4" x14ac:dyDescent="0.3">
      <c r="A153">
        <v>-0.77</v>
      </c>
      <c r="D153">
        <v>-0.77</v>
      </c>
    </row>
    <row r="154" spans="1:4" x14ac:dyDescent="0.3">
      <c r="A154">
        <v>-0.77</v>
      </c>
      <c r="D154">
        <v>-0.77</v>
      </c>
    </row>
    <row r="155" spans="1:4" x14ac:dyDescent="0.3">
      <c r="A155">
        <v>-0.75</v>
      </c>
      <c r="D155">
        <v>-0.75</v>
      </c>
    </row>
    <row r="156" spans="1:4" x14ac:dyDescent="0.3">
      <c r="A156">
        <v>-0.75</v>
      </c>
      <c r="D156">
        <v>-0.75</v>
      </c>
    </row>
    <row r="157" spans="1:4" x14ac:dyDescent="0.3">
      <c r="A157">
        <v>-0.74</v>
      </c>
      <c r="D157">
        <v>-0.74</v>
      </c>
    </row>
    <row r="158" spans="1:4" x14ac:dyDescent="0.3">
      <c r="A158">
        <v>-0.72</v>
      </c>
      <c r="D158">
        <v>-0.72</v>
      </c>
    </row>
    <row r="159" spans="1:4" x14ac:dyDescent="0.3">
      <c r="A159">
        <v>-0.72</v>
      </c>
      <c r="D159">
        <v>-0.72</v>
      </c>
    </row>
    <row r="160" spans="1:4" x14ac:dyDescent="0.3">
      <c r="A160">
        <v>-0.72</v>
      </c>
      <c r="D160">
        <v>-0.72</v>
      </c>
    </row>
    <row r="161" spans="1:4" x14ac:dyDescent="0.3">
      <c r="A161">
        <v>-0.71</v>
      </c>
      <c r="D161">
        <v>-0.71</v>
      </c>
    </row>
    <row r="162" spans="1:4" x14ac:dyDescent="0.3">
      <c r="A162">
        <v>-0.71</v>
      </c>
      <c r="D162">
        <v>-0.71</v>
      </c>
    </row>
    <row r="163" spans="1:4" x14ac:dyDescent="0.3">
      <c r="A163">
        <v>-0.7</v>
      </c>
      <c r="D163">
        <v>-0.7</v>
      </c>
    </row>
    <row r="164" spans="1:4" x14ac:dyDescent="0.3">
      <c r="A164">
        <v>-0.7</v>
      </c>
      <c r="D164">
        <v>-0.7</v>
      </c>
    </row>
    <row r="165" spans="1:4" x14ac:dyDescent="0.3">
      <c r="A165">
        <v>-0.7</v>
      </c>
      <c r="D165">
        <v>-0.7</v>
      </c>
    </row>
    <row r="166" spans="1:4" x14ac:dyDescent="0.3">
      <c r="A166">
        <v>-0.69</v>
      </c>
      <c r="D166">
        <v>-0.69</v>
      </c>
    </row>
    <row r="167" spans="1:4" x14ac:dyDescent="0.3">
      <c r="A167">
        <v>-0.68</v>
      </c>
      <c r="D167">
        <v>-0.68</v>
      </c>
    </row>
    <row r="168" spans="1:4" x14ac:dyDescent="0.3">
      <c r="A168">
        <v>-0.68</v>
      </c>
      <c r="D168">
        <v>-0.68</v>
      </c>
    </row>
    <row r="169" spans="1:4" x14ac:dyDescent="0.3">
      <c r="A169">
        <v>-0.67</v>
      </c>
      <c r="D169">
        <v>-0.67</v>
      </c>
    </row>
    <row r="170" spans="1:4" x14ac:dyDescent="0.3">
      <c r="A170">
        <v>-0.66</v>
      </c>
      <c r="D170">
        <v>-0.66</v>
      </c>
    </row>
    <row r="171" spans="1:4" x14ac:dyDescent="0.3">
      <c r="A171">
        <v>-0.66</v>
      </c>
      <c r="D171">
        <v>-0.66</v>
      </c>
    </row>
    <row r="172" spans="1:4" x14ac:dyDescent="0.3">
      <c r="A172">
        <v>-0.65</v>
      </c>
      <c r="D172">
        <v>-0.65</v>
      </c>
    </row>
    <row r="173" spans="1:4" x14ac:dyDescent="0.3">
      <c r="A173">
        <v>-0.65</v>
      </c>
      <c r="D173">
        <v>-0.65</v>
      </c>
    </row>
    <row r="174" spans="1:4" x14ac:dyDescent="0.3">
      <c r="A174">
        <v>-0.64</v>
      </c>
      <c r="D174">
        <v>-0.64</v>
      </c>
    </row>
    <row r="175" spans="1:4" x14ac:dyDescent="0.3">
      <c r="A175">
        <v>-0.64</v>
      </c>
      <c r="D175">
        <v>-0.64</v>
      </c>
    </row>
    <row r="176" spans="1:4" x14ac:dyDescent="0.3">
      <c r="A176">
        <v>-0.64</v>
      </c>
      <c r="D176">
        <v>-0.64</v>
      </c>
    </row>
    <row r="177" spans="1:4" x14ac:dyDescent="0.3">
      <c r="A177">
        <v>-0.63</v>
      </c>
      <c r="D177">
        <v>-0.63</v>
      </c>
    </row>
    <row r="178" spans="1:4" x14ac:dyDescent="0.3">
      <c r="A178">
        <v>-0.63</v>
      </c>
      <c r="D178">
        <v>-0.63</v>
      </c>
    </row>
    <row r="179" spans="1:4" x14ac:dyDescent="0.3">
      <c r="A179">
        <v>-0.62</v>
      </c>
      <c r="D179">
        <v>-0.62</v>
      </c>
    </row>
    <row r="180" spans="1:4" x14ac:dyDescent="0.3">
      <c r="A180">
        <v>-0.61</v>
      </c>
      <c r="D180">
        <v>-0.61</v>
      </c>
    </row>
    <row r="181" spans="1:4" x14ac:dyDescent="0.3">
      <c r="A181">
        <v>-0.6</v>
      </c>
      <c r="D181">
        <v>-0.6</v>
      </c>
    </row>
    <row r="182" spans="1:4" x14ac:dyDescent="0.3">
      <c r="A182">
        <v>-0.59</v>
      </c>
      <c r="D182">
        <v>-0.59</v>
      </c>
    </row>
    <row r="183" spans="1:4" x14ac:dyDescent="0.3">
      <c r="A183">
        <v>-0.56000000000000005</v>
      </c>
      <c r="D183">
        <v>-0.56000000000000005</v>
      </c>
    </row>
    <row r="184" spans="1:4" x14ac:dyDescent="0.3">
      <c r="A184">
        <v>-0.55000000000000004</v>
      </c>
      <c r="D184">
        <v>-0.55000000000000004</v>
      </c>
    </row>
    <row r="185" spans="1:4" x14ac:dyDescent="0.3">
      <c r="A185">
        <v>-0.55000000000000004</v>
      </c>
      <c r="D185">
        <v>-0.55000000000000004</v>
      </c>
    </row>
    <row r="186" spans="1:4" x14ac:dyDescent="0.3">
      <c r="A186">
        <v>-0.54</v>
      </c>
      <c r="D186">
        <v>-0.54</v>
      </c>
    </row>
    <row r="187" spans="1:4" x14ac:dyDescent="0.3">
      <c r="A187">
        <v>-0.52</v>
      </c>
      <c r="D187">
        <v>-0.52</v>
      </c>
    </row>
    <row r="188" spans="1:4" x14ac:dyDescent="0.3">
      <c r="A188">
        <v>-0.52</v>
      </c>
      <c r="D188">
        <v>-0.52</v>
      </c>
    </row>
    <row r="189" spans="1:4" x14ac:dyDescent="0.3">
      <c r="A189">
        <v>-0.5</v>
      </c>
      <c r="D189">
        <v>-0.5</v>
      </c>
    </row>
    <row r="190" spans="1:4" x14ac:dyDescent="0.3">
      <c r="A190">
        <v>-0.5</v>
      </c>
      <c r="D190">
        <v>-0.5</v>
      </c>
    </row>
    <row r="191" spans="1:4" x14ac:dyDescent="0.3">
      <c r="A191">
        <v>-0.5</v>
      </c>
      <c r="D191">
        <v>-0.5</v>
      </c>
    </row>
    <row r="192" spans="1:4" x14ac:dyDescent="0.3">
      <c r="A192">
        <v>-0.49</v>
      </c>
      <c r="D192">
        <v>-0.49</v>
      </c>
    </row>
    <row r="193" spans="1:4" x14ac:dyDescent="0.3">
      <c r="A193">
        <v>-0.49</v>
      </c>
      <c r="D193">
        <v>-0.49</v>
      </c>
    </row>
    <row r="194" spans="1:4" x14ac:dyDescent="0.3">
      <c r="A194">
        <v>-0.47</v>
      </c>
      <c r="D194">
        <v>-0.47</v>
      </c>
    </row>
    <row r="195" spans="1:4" x14ac:dyDescent="0.3">
      <c r="A195">
        <v>-0.47</v>
      </c>
      <c r="D195">
        <v>-0.47</v>
      </c>
    </row>
    <row r="196" spans="1:4" x14ac:dyDescent="0.3">
      <c r="A196">
        <v>-0.47</v>
      </c>
      <c r="D196">
        <v>-0.47</v>
      </c>
    </row>
    <row r="197" spans="1:4" x14ac:dyDescent="0.3">
      <c r="A197">
        <v>-0.46</v>
      </c>
      <c r="D197">
        <v>-0.46</v>
      </c>
    </row>
    <row r="198" spans="1:4" x14ac:dyDescent="0.3">
      <c r="A198">
        <v>-0.46</v>
      </c>
      <c r="D198">
        <v>-0.46</v>
      </c>
    </row>
    <row r="199" spans="1:4" x14ac:dyDescent="0.3">
      <c r="A199">
        <v>-0.45</v>
      </c>
      <c r="D199">
        <v>-0.45</v>
      </c>
    </row>
    <row r="200" spans="1:4" x14ac:dyDescent="0.3">
      <c r="A200">
        <v>-0.45</v>
      </c>
      <c r="D200">
        <v>-0.45</v>
      </c>
    </row>
    <row r="201" spans="1:4" x14ac:dyDescent="0.3">
      <c r="A201">
        <v>-0.45</v>
      </c>
      <c r="D201">
        <v>-0.45</v>
      </c>
    </row>
    <row r="202" spans="1:4" x14ac:dyDescent="0.3">
      <c r="A202">
        <v>-0.45</v>
      </c>
      <c r="D202">
        <v>-0.45</v>
      </c>
    </row>
    <row r="203" spans="1:4" x14ac:dyDescent="0.3">
      <c r="A203">
        <v>-0.45</v>
      </c>
      <c r="D203">
        <v>-0.45</v>
      </c>
    </row>
    <row r="204" spans="1:4" x14ac:dyDescent="0.3">
      <c r="A204">
        <v>-0.44</v>
      </c>
      <c r="D204">
        <v>-0.44</v>
      </c>
    </row>
    <row r="205" spans="1:4" x14ac:dyDescent="0.3">
      <c r="A205">
        <v>-0.44</v>
      </c>
      <c r="D205">
        <v>-0.44</v>
      </c>
    </row>
    <row r="206" spans="1:4" x14ac:dyDescent="0.3">
      <c r="A206">
        <v>-0.44</v>
      </c>
      <c r="D206">
        <v>-0.44</v>
      </c>
    </row>
    <row r="207" spans="1:4" x14ac:dyDescent="0.3">
      <c r="A207">
        <v>-0.44</v>
      </c>
      <c r="D207">
        <v>-0.44</v>
      </c>
    </row>
    <row r="208" spans="1:4" x14ac:dyDescent="0.3">
      <c r="A208">
        <v>-0.44</v>
      </c>
      <c r="D208">
        <v>-0.44</v>
      </c>
    </row>
    <row r="209" spans="1:4" x14ac:dyDescent="0.3">
      <c r="A209">
        <v>-0.44</v>
      </c>
      <c r="D209">
        <v>-0.44</v>
      </c>
    </row>
    <row r="210" spans="1:4" x14ac:dyDescent="0.3">
      <c r="A210">
        <v>-0.43</v>
      </c>
      <c r="D210">
        <v>-0.43</v>
      </c>
    </row>
    <row r="211" spans="1:4" x14ac:dyDescent="0.3">
      <c r="A211">
        <v>-0.43</v>
      </c>
      <c r="D211">
        <v>-0.43</v>
      </c>
    </row>
    <row r="212" spans="1:4" x14ac:dyDescent="0.3">
      <c r="A212">
        <v>-0.43</v>
      </c>
      <c r="D212">
        <v>-0.43</v>
      </c>
    </row>
    <row r="213" spans="1:4" x14ac:dyDescent="0.3">
      <c r="A213">
        <v>-0.43</v>
      </c>
      <c r="D213">
        <v>-0.43</v>
      </c>
    </row>
    <row r="214" spans="1:4" x14ac:dyDescent="0.3">
      <c r="A214">
        <v>-0.42</v>
      </c>
      <c r="D214">
        <v>-0.42</v>
      </c>
    </row>
    <row r="215" spans="1:4" x14ac:dyDescent="0.3">
      <c r="A215">
        <v>-0.41</v>
      </c>
      <c r="D215">
        <v>-0.41</v>
      </c>
    </row>
    <row r="216" spans="1:4" x14ac:dyDescent="0.3">
      <c r="A216">
        <v>-0.41</v>
      </c>
      <c r="D216">
        <v>-0.41</v>
      </c>
    </row>
    <row r="217" spans="1:4" x14ac:dyDescent="0.3">
      <c r="A217">
        <v>-0.41</v>
      </c>
      <c r="D217">
        <v>-0.41</v>
      </c>
    </row>
    <row r="218" spans="1:4" x14ac:dyDescent="0.3">
      <c r="A218">
        <v>-0.4</v>
      </c>
      <c r="D218">
        <v>-0.4</v>
      </c>
    </row>
    <row r="219" spans="1:4" x14ac:dyDescent="0.3">
      <c r="A219">
        <v>-0.4</v>
      </c>
      <c r="D219">
        <v>-0.4</v>
      </c>
    </row>
    <row r="220" spans="1:4" x14ac:dyDescent="0.3">
      <c r="A220">
        <v>-0.4</v>
      </c>
      <c r="D220">
        <v>-0.4</v>
      </c>
    </row>
    <row r="221" spans="1:4" x14ac:dyDescent="0.3">
      <c r="A221">
        <v>-0.4</v>
      </c>
      <c r="D221">
        <v>-0.4</v>
      </c>
    </row>
    <row r="222" spans="1:4" x14ac:dyDescent="0.3">
      <c r="A222">
        <v>-0.39</v>
      </c>
      <c r="D222">
        <v>-0.39</v>
      </c>
    </row>
    <row r="223" spans="1:4" x14ac:dyDescent="0.3">
      <c r="A223">
        <v>-0.38</v>
      </c>
      <c r="D223">
        <v>-0.38</v>
      </c>
    </row>
    <row r="224" spans="1:4" x14ac:dyDescent="0.3">
      <c r="A224">
        <v>-0.37</v>
      </c>
      <c r="D224">
        <v>-0.37</v>
      </c>
    </row>
    <row r="225" spans="1:4" x14ac:dyDescent="0.3">
      <c r="A225">
        <v>-0.35</v>
      </c>
      <c r="D225">
        <v>-0.35</v>
      </c>
    </row>
    <row r="226" spans="1:4" x14ac:dyDescent="0.3">
      <c r="A226">
        <v>-0.35</v>
      </c>
      <c r="D226">
        <v>-0.35</v>
      </c>
    </row>
    <row r="227" spans="1:4" x14ac:dyDescent="0.3">
      <c r="A227">
        <v>-0.34</v>
      </c>
      <c r="D227">
        <v>-0.34</v>
      </c>
    </row>
    <row r="228" spans="1:4" x14ac:dyDescent="0.3">
      <c r="A228">
        <v>-0.34</v>
      </c>
      <c r="D228">
        <v>-0.34</v>
      </c>
    </row>
    <row r="229" spans="1:4" x14ac:dyDescent="0.3">
      <c r="A229">
        <v>-0.34</v>
      </c>
      <c r="D229">
        <v>-0.34</v>
      </c>
    </row>
    <row r="230" spans="1:4" x14ac:dyDescent="0.3">
      <c r="A230">
        <v>-0.34</v>
      </c>
      <c r="D230">
        <v>-0.34</v>
      </c>
    </row>
    <row r="231" spans="1:4" x14ac:dyDescent="0.3">
      <c r="A231">
        <v>-0.33</v>
      </c>
      <c r="D231">
        <v>-0.33</v>
      </c>
    </row>
    <row r="232" spans="1:4" x14ac:dyDescent="0.3">
      <c r="A232">
        <v>-0.32</v>
      </c>
      <c r="D232">
        <v>-0.32</v>
      </c>
    </row>
    <row r="233" spans="1:4" x14ac:dyDescent="0.3">
      <c r="A233">
        <v>-0.32</v>
      </c>
      <c r="D233">
        <v>-0.32</v>
      </c>
    </row>
    <row r="234" spans="1:4" x14ac:dyDescent="0.3">
      <c r="A234">
        <v>-0.31</v>
      </c>
      <c r="D234">
        <v>-0.31</v>
      </c>
    </row>
    <row r="235" spans="1:4" x14ac:dyDescent="0.3">
      <c r="A235">
        <v>-0.31</v>
      </c>
      <c r="D235">
        <v>-0.31</v>
      </c>
    </row>
    <row r="236" spans="1:4" x14ac:dyDescent="0.3">
      <c r="A236">
        <v>-0.3</v>
      </c>
      <c r="D236">
        <v>-0.3</v>
      </c>
    </row>
    <row r="237" spans="1:4" x14ac:dyDescent="0.3">
      <c r="A237">
        <v>-0.3</v>
      </c>
      <c r="D237">
        <v>-0.3</v>
      </c>
    </row>
    <row r="238" spans="1:4" x14ac:dyDescent="0.3">
      <c r="A238">
        <v>-0.28999999999999998</v>
      </c>
      <c r="D238">
        <v>-0.28999999999999998</v>
      </c>
    </row>
    <row r="239" spans="1:4" x14ac:dyDescent="0.3">
      <c r="A239">
        <v>-0.28999999999999998</v>
      </c>
      <c r="D239">
        <v>-0.28999999999999998</v>
      </c>
    </row>
    <row r="240" spans="1:4" x14ac:dyDescent="0.3">
      <c r="A240">
        <v>-0.28999999999999998</v>
      </c>
      <c r="D240">
        <v>-0.28999999999999998</v>
      </c>
    </row>
    <row r="241" spans="1:4" x14ac:dyDescent="0.3">
      <c r="A241">
        <v>-0.27</v>
      </c>
      <c r="D241">
        <v>-0.27</v>
      </c>
    </row>
    <row r="242" spans="1:4" x14ac:dyDescent="0.3">
      <c r="A242">
        <v>-0.27</v>
      </c>
      <c r="D242">
        <v>-0.27</v>
      </c>
    </row>
    <row r="243" spans="1:4" x14ac:dyDescent="0.3">
      <c r="A243">
        <v>-0.27</v>
      </c>
      <c r="D243">
        <v>-0.27</v>
      </c>
    </row>
    <row r="244" spans="1:4" x14ac:dyDescent="0.3">
      <c r="A244">
        <v>-0.26</v>
      </c>
      <c r="D244">
        <v>-0.26</v>
      </c>
    </row>
    <row r="245" spans="1:4" x14ac:dyDescent="0.3">
      <c r="A245">
        <v>-0.26</v>
      </c>
      <c r="D245">
        <v>-0.26</v>
      </c>
    </row>
    <row r="246" spans="1:4" x14ac:dyDescent="0.3">
      <c r="A246">
        <v>-0.25</v>
      </c>
      <c r="D246">
        <v>-0.25</v>
      </c>
    </row>
    <row r="247" spans="1:4" x14ac:dyDescent="0.3">
      <c r="A247">
        <v>-0.25</v>
      </c>
      <c r="D247">
        <v>-0.25</v>
      </c>
    </row>
    <row r="248" spans="1:4" x14ac:dyDescent="0.3">
      <c r="A248">
        <v>-0.25</v>
      </c>
      <c r="D248">
        <v>-0.25</v>
      </c>
    </row>
    <row r="249" spans="1:4" x14ac:dyDescent="0.3">
      <c r="A249">
        <v>-0.25</v>
      </c>
      <c r="D249">
        <v>-0.25</v>
      </c>
    </row>
    <row r="250" spans="1:4" x14ac:dyDescent="0.3">
      <c r="A250">
        <v>-0.24</v>
      </c>
      <c r="D250">
        <v>-0.24</v>
      </c>
    </row>
    <row r="251" spans="1:4" x14ac:dyDescent="0.3">
      <c r="A251">
        <v>-0.24</v>
      </c>
      <c r="D251">
        <v>-0.24</v>
      </c>
    </row>
    <row r="252" spans="1:4" x14ac:dyDescent="0.3">
      <c r="A252">
        <v>-0.22</v>
      </c>
      <c r="D252">
        <v>-0.22</v>
      </c>
    </row>
    <row r="253" spans="1:4" x14ac:dyDescent="0.3">
      <c r="A253">
        <v>-0.22</v>
      </c>
      <c r="D253">
        <v>-0.22</v>
      </c>
    </row>
    <row r="254" spans="1:4" x14ac:dyDescent="0.3">
      <c r="A254">
        <v>-0.22</v>
      </c>
      <c r="D254">
        <v>-0.22</v>
      </c>
    </row>
    <row r="255" spans="1:4" x14ac:dyDescent="0.3">
      <c r="A255">
        <v>-0.22</v>
      </c>
      <c r="D255">
        <v>-0.22</v>
      </c>
    </row>
    <row r="256" spans="1:4" x14ac:dyDescent="0.3">
      <c r="A256">
        <v>-0.21</v>
      </c>
      <c r="D256">
        <v>-0.21</v>
      </c>
    </row>
    <row r="257" spans="1:4" x14ac:dyDescent="0.3">
      <c r="A257">
        <v>-0.21</v>
      </c>
      <c r="D257">
        <v>-0.21</v>
      </c>
    </row>
    <row r="258" spans="1:4" x14ac:dyDescent="0.3">
      <c r="A258">
        <v>-0.21</v>
      </c>
      <c r="D258">
        <v>-0.21</v>
      </c>
    </row>
    <row r="259" spans="1:4" x14ac:dyDescent="0.3">
      <c r="A259">
        <v>-0.21</v>
      </c>
      <c r="D259">
        <v>-0.21</v>
      </c>
    </row>
    <row r="260" spans="1:4" x14ac:dyDescent="0.3">
      <c r="A260">
        <v>-0.21</v>
      </c>
      <c r="D260">
        <v>-0.21</v>
      </c>
    </row>
    <row r="261" spans="1:4" x14ac:dyDescent="0.3">
      <c r="A261">
        <v>-0.2</v>
      </c>
      <c r="D261">
        <v>-0.2</v>
      </c>
    </row>
    <row r="262" spans="1:4" x14ac:dyDescent="0.3">
      <c r="A262">
        <v>-0.2</v>
      </c>
      <c r="D262">
        <v>-0.2</v>
      </c>
    </row>
    <row r="263" spans="1:4" x14ac:dyDescent="0.3">
      <c r="A263">
        <v>-0.19</v>
      </c>
      <c r="D263">
        <v>-0.19</v>
      </c>
    </row>
    <row r="264" spans="1:4" x14ac:dyDescent="0.3">
      <c r="A264">
        <v>-0.18</v>
      </c>
      <c r="D264">
        <v>-0.18</v>
      </c>
    </row>
    <row r="265" spans="1:4" x14ac:dyDescent="0.3">
      <c r="A265">
        <v>-0.18</v>
      </c>
      <c r="D265">
        <v>-0.18</v>
      </c>
    </row>
    <row r="266" spans="1:4" x14ac:dyDescent="0.3">
      <c r="A266">
        <v>-0.17</v>
      </c>
      <c r="D266">
        <v>-0.17</v>
      </c>
    </row>
    <row r="267" spans="1:4" x14ac:dyDescent="0.3">
      <c r="A267">
        <v>-0.16</v>
      </c>
      <c r="D267">
        <v>-0.16</v>
      </c>
    </row>
    <row r="268" spans="1:4" x14ac:dyDescent="0.3">
      <c r="A268">
        <v>-0.16</v>
      </c>
      <c r="D268">
        <v>-0.16</v>
      </c>
    </row>
    <row r="269" spans="1:4" x14ac:dyDescent="0.3">
      <c r="A269">
        <v>-0.16</v>
      </c>
      <c r="D269">
        <v>-0.16</v>
      </c>
    </row>
    <row r="270" spans="1:4" x14ac:dyDescent="0.3">
      <c r="A270">
        <v>-0.16</v>
      </c>
      <c r="D270">
        <v>-0.16</v>
      </c>
    </row>
    <row r="271" spans="1:4" x14ac:dyDescent="0.3">
      <c r="A271">
        <v>-0.16</v>
      </c>
      <c r="D271">
        <v>-0.16</v>
      </c>
    </row>
    <row r="272" spans="1:4" x14ac:dyDescent="0.3">
      <c r="A272">
        <v>-0.16</v>
      </c>
      <c r="D272">
        <v>-0.16</v>
      </c>
    </row>
    <row r="273" spans="1:4" x14ac:dyDescent="0.3">
      <c r="A273">
        <v>-0.15</v>
      </c>
      <c r="D273">
        <v>-0.15</v>
      </c>
    </row>
    <row r="274" spans="1:4" x14ac:dyDescent="0.3">
      <c r="A274">
        <v>-0.15</v>
      </c>
      <c r="D274">
        <v>-0.15</v>
      </c>
    </row>
    <row r="275" spans="1:4" x14ac:dyDescent="0.3">
      <c r="A275">
        <v>-0.14000000000000001</v>
      </c>
      <c r="D275">
        <v>-0.14000000000000001</v>
      </c>
    </row>
    <row r="276" spans="1:4" x14ac:dyDescent="0.3">
      <c r="A276">
        <v>-0.12</v>
      </c>
      <c r="D276">
        <v>-0.12</v>
      </c>
    </row>
    <row r="277" spans="1:4" x14ac:dyDescent="0.3">
      <c r="A277">
        <v>-0.12</v>
      </c>
      <c r="D277">
        <v>-0.12</v>
      </c>
    </row>
    <row r="278" spans="1:4" x14ac:dyDescent="0.3">
      <c r="A278">
        <v>-0.11</v>
      </c>
      <c r="D278">
        <v>-0.11</v>
      </c>
    </row>
    <row r="279" spans="1:4" x14ac:dyDescent="0.3">
      <c r="A279">
        <v>-0.09</v>
      </c>
      <c r="D279">
        <v>-0.09</v>
      </c>
    </row>
    <row r="280" spans="1:4" x14ac:dyDescent="0.3">
      <c r="A280">
        <v>-7.0000000000000007E-2</v>
      </c>
      <c r="D280">
        <v>-7.0000000000000007E-2</v>
      </c>
    </row>
    <row r="281" spans="1:4" x14ac:dyDescent="0.3">
      <c r="A281">
        <v>-7.0000000000000007E-2</v>
      </c>
      <c r="D281">
        <v>-7.0000000000000007E-2</v>
      </c>
    </row>
    <row r="282" spans="1:4" x14ac:dyDescent="0.3">
      <c r="A282">
        <v>-7.0000000000000007E-2</v>
      </c>
      <c r="D282">
        <v>-7.0000000000000007E-2</v>
      </c>
    </row>
    <row r="283" spans="1:4" x14ac:dyDescent="0.3">
      <c r="A283">
        <v>-0.06</v>
      </c>
      <c r="D283">
        <v>-0.06</v>
      </c>
    </row>
    <row r="284" spans="1:4" x14ac:dyDescent="0.3">
      <c r="A284">
        <v>-0.05</v>
      </c>
      <c r="D284">
        <v>-0.05</v>
      </c>
    </row>
    <row r="285" spans="1:4" x14ac:dyDescent="0.3">
      <c r="A285">
        <v>-0.04</v>
      </c>
      <c r="D285">
        <v>-0.04</v>
      </c>
    </row>
    <row r="286" spans="1:4" x14ac:dyDescent="0.3">
      <c r="A286">
        <v>-0.03</v>
      </c>
      <c r="D286">
        <v>-0.03</v>
      </c>
    </row>
    <row r="287" spans="1:4" x14ac:dyDescent="0.3">
      <c r="A287">
        <v>-0.03</v>
      </c>
      <c r="D287">
        <v>-0.03</v>
      </c>
    </row>
    <row r="288" spans="1:4" x14ac:dyDescent="0.3">
      <c r="A288">
        <v>-0.03</v>
      </c>
      <c r="D288">
        <v>-0.03</v>
      </c>
    </row>
    <row r="289" spans="1:4" x14ac:dyDescent="0.3">
      <c r="A289">
        <v>-0.03</v>
      </c>
      <c r="D289">
        <v>-0.03</v>
      </c>
    </row>
    <row r="290" spans="1:4" x14ac:dyDescent="0.3">
      <c r="A290">
        <v>-0.02</v>
      </c>
      <c r="D290">
        <v>-0.02</v>
      </c>
    </row>
    <row r="291" spans="1:4" x14ac:dyDescent="0.3">
      <c r="A291">
        <v>-0.02</v>
      </c>
      <c r="D291">
        <v>-0.02</v>
      </c>
    </row>
    <row r="292" spans="1:4" x14ac:dyDescent="0.3">
      <c r="A292">
        <v>-0.01</v>
      </c>
      <c r="D292">
        <v>-0.01</v>
      </c>
    </row>
    <row r="293" spans="1:4" x14ac:dyDescent="0.3">
      <c r="A293">
        <v>-0.01</v>
      </c>
      <c r="D293">
        <v>-0.01</v>
      </c>
    </row>
    <row r="294" spans="1:4" x14ac:dyDescent="0.3">
      <c r="A294">
        <v>0</v>
      </c>
      <c r="D294">
        <v>0</v>
      </c>
    </row>
    <row r="295" spans="1:4" x14ac:dyDescent="0.3">
      <c r="A295">
        <v>0.01</v>
      </c>
      <c r="D295">
        <v>0.01</v>
      </c>
    </row>
    <row r="296" spans="1:4" x14ac:dyDescent="0.3">
      <c r="A296">
        <v>0.01</v>
      </c>
      <c r="D296">
        <v>0.01</v>
      </c>
    </row>
    <row r="297" spans="1:4" x14ac:dyDescent="0.3">
      <c r="A297">
        <v>0.02</v>
      </c>
      <c r="D297">
        <v>0.02</v>
      </c>
    </row>
    <row r="298" spans="1:4" x14ac:dyDescent="0.3">
      <c r="A298">
        <v>0.03</v>
      </c>
      <c r="D298">
        <v>0.03</v>
      </c>
    </row>
    <row r="299" spans="1:4" x14ac:dyDescent="0.3">
      <c r="A299">
        <v>0.03</v>
      </c>
      <c r="D299">
        <v>0.03</v>
      </c>
    </row>
    <row r="300" spans="1:4" x14ac:dyDescent="0.3">
      <c r="A300">
        <v>0.03</v>
      </c>
      <c r="D300">
        <v>0.03</v>
      </c>
    </row>
    <row r="301" spans="1:4" x14ac:dyDescent="0.3">
      <c r="A301">
        <v>0.04</v>
      </c>
      <c r="D301">
        <v>0.04</v>
      </c>
    </row>
    <row r="302" spans="1:4" x14ac:dyDescent="0.3">
      <c r="A302">
        <v>0.04</v>
      </c>
      <c r="D302">
        <v>0.04</v>
      </c>
    </row>
    <row r="303" spans="1:4" x14ac:dyDescent="0.3">
      <c r="A303">
        <v>0.04</v>
      </c>
      <c r="D303">
        <v>0.04</v>
      </c>
    </row>
    <row r="304" spans="1:4" x14ac:dyDescent="0.3">
      <c r="A304">
        <v>0.04</v>
      </c>
      <c r="D304">
        <v>0.04</v>
      </c>
    </row>
    <row r="305" spans="1:4" x14ac:dyDescent="0.3">
      <c r="A305">
        <v>0.04</v>
      </c>
      <c r="D305">
        <v>0.04</v>
      </c>
    </row>
    <row r="306" spans="1:4" x14ac:dyDescent="0.3">
      <c r="A306">
        <v>0.05</v>
      </c>
      <c r="D306">
        <v>0.05</v>
      </c>
    </row>
    <row r="307" spans="1:4" x14ac:dyDescent="0.3">
      <c r="A307">
        <v>0.06</v>
      </c>
      <c r="D307">
        <v>0.06</v>
      </c>
    </row>
    <row r="308" spans="1:4" x14ac:dyDescent="0.3">
      <c r="A308">
        <v>0.06</v>
      </c>
      <c r="D308">
        <v>0.06</v>
      </c>
    </row>
    <row r="309" spans="1:4" x14ac:dyDescent="0.3">
      <c r="A309">
        <v>0.06</v>
      </c>
      <c r="D309">
        <v>0.06</v>
      </c>
    </row>
    <row r="310" spans="1:4" x14ac:dyDescent="0.3">
      <c r="A310">
        <v>0.06</v>
      </c>
      <c r="D310">
        <v>0.06</v>
      </c>
    </row>
    <row r="311" spans="1:4" x14ac:dyDescent="0.3">
      <c r="A311">
        <v>7.0000000000000007E-2</v>
      </c>
      <c r="D311">
        <v>7.0000000000000007E-2</v>
      </c>
    </row>
    <row r="312" spans="1:4" x14ac:dyDescent="0.3">
      <c r="A312">
        <v>7.0000000000000007E-2</v>
      </c>
      <c r="D312">
        <v>7.0000000000000007E-2</v>
      </c>
    </row>
    <row r="313" spans="1:4" x14ac:dyDescent="0.3">
      <c r="A313">
        <v>7.0000000000000007E-2</v>
      </c>
      <c r="D313">
        <v>7.0000000000000007E-2</v>
      </c>
    </row>
    <row r="314" spans="1:4" x14ac:dyDescent="0.3">
      <c r="A314">
        <v>7.0000000000000007E-2</v>
      </c>
      <c r="D314">
        <v>7.0000000000000007E-2</v>
      </c>
    </row>
    <row r="315" spans="1:4" x14ac:dyDescent="0.3">
      <c r="A315">
        <v>7.0000000000000007E-2</v>
      </c>
      <c r="D315">
        <v>7.0000000000000007E-2</v>
      </c>
    </row>
    <row r="316" spans="1:4" x14ac:dyDescent="0.3">
      <c r="A316">
        <v>0.08</v>
      </c>
      <c r="D316">
        <v>0.08</v>
      </c>
    </row>
    <row r="317" spans="1:4" x14ac:dyDescent="0.3">
      <c r="A317">
        <v>0.08</v>
      </c>
      <c r="D317">
        <v>0.08</v>
      </c>
    </row>
    <row r="318" spans="1:4" x14ac:dyDescent="0.3">
      <c r="A318">
        <v>0.09</v>
      </c>
      <c r="D318">
        <v>0.09</v>
      </c>
    </row>
    <row r="319" spans="1:4" x14ac:dyDescent="0.3">
      <c r="A319">
        <v>0.1</v>
      </c>
      <c r="D319">
        <v>0.1</v>
      </c>
    </row>
    <row r="320" spans="1:4" x14ac:dyDescent="0.3">
      <c r="A320">
        <v>0.13</v>
      </c>
      <c r="D320">
        <v>0.13</v>
      </c>
    </row>
    <row r="321" spans="1:4" x14ac:dyDescent="0.3">
      <c r="A321">
        <v>0.13</v>
      </c>
      <c r="D321">
        <v>0.13</v>
      </c>
    </row>
    <row r="322" spans="1:4" x14ac:dyDescent="0.3">
      <c r="A322">
        <v>0.14000000000000001</v>
      </c>
      <c r="D322">
        <v>0.14000000000000001</v>
      </c>
    </row>
    <row r="323" spans="1:4" x14ac:dyDescent="0.3">
      <c r="A323">
        <v>0.14000000000000001</v>
      </c>
      <c r="D323">
        <v>0.14000000000000001</v>
      </c>
    </row>
    <row r="324" spans="1:4" x14ac:dyDescent="0.3">
      <c r="A324">
        <v>0.15</v>
      </c>
      <c r="D324">
        <v>0.15</v>
      </c>
    </row>
    <row r="325" spans="1:4" x14ac:dyDescent="0.3">
      <c r="A325">
        <v>0.15</v>
      </c>
      <c r="D325">
        <v>0.15</v>
      </c>
    </row>
    <row r="326" spans="1:4" x14ac:dyDescent="0.3">
      <c r="A326">
        <v>0.15</v>
      </c>
      <c r="D326">
        <v>0.15</v>
      </c>
    </row>
    <row r="327" spans="1:4" x14ac:dyDescent="0.3">
      <c r="A327">
        <v>0.16</v>
      </c>
      <c r="D327">
        <v>0.16</v>
      </c>
    </row>
    <row r="328" spans="1:4" x14ac:dyDescent="0.3">
      <c r="A328">
        <v>0.16</v>
      </c>
      <c r="D328">
        <v>0.16</v>
      </c>
    </row>
    <row r="329" spans="1:4" x14ac:dyDescent="0.3">
      <c r="A329">
        <v>0.17</v>
      </c>
      <c r="D329">
        <v>0.17</v>
      </c>
    </row>
    <row r="330" spans="1:4" x14ac:dyDescent="0.3">
      <c r="A330">
        <v>0.17</v>
      </c>
      <c r="D330">
        <v>0.17</v>
      </c>
    </row>
    <row r="331" spans="1:4" x14ac:dyDescent="0.3">
      <c r="A331">
        <v>0.18</v>
      </c>
      <c r="D331">
        <v>0.18</v>
      </c>
    </row>
    <row r="332" spans="1:4" x14ac:dyDescent="0.3">
      <c r="A332">
        <v>0.18</v>
      </c>
      <c r="D332">
        <v>0.18</v>
      </c>
    </row>
    <row r="333" spans="1:4" x14ac:dyDescent="0.3">
      <c r="A333">
        <v>0.19</v>
      </c>
      <c r="D333">
        <v>0.19</v>
      </c>
    </row>
    <row r="334" spans="1:4" x14ac:dyDescent="0.3">
      <c r="A334">
        <v>0.19</v>
      </c>
      <c r="D334">
        <v>0.19</v>
      </c>
    </row>
    <row r="335" spans="1:4" x14ac:dyDescent="0.3">
      <c r="A335">
        <v>0.2</v>
      </c>
      <c r="D335">
        <v>0.2</v>
      </c>
    </row>
    <row r="336" spans="1:4" x14ac:dyDescent="0.3">
      <c r="A336">
        <v>0.2</v>
      </c>
      <c r="D336">
        <v>0.2</v>
      </c>
    </row>
    <row r="337" spans="1:4" x14ac:dyDescent="0.3">
      <c r="A337">
        <v>0.25</v>
      </c>
      <c r="D337">
        <v>0.25</v>
      </c>
    </row>
    <row r="338" spans="1:4" x14ac:dyDescent="0.3">
      <c r="A338">
        <v>0.25</v>
      </c>
      <c r="D338">
        <v>0.25</v>
      </c>
    </row>
    <row r="339" spans="1:4" x14ac:dyDescent="0.3">
      <c r="A339">
        <v>0.28000000000000003</v>
      </c>
      <c r="D339">
        <v>0.28000000000000003</v>
      </c>
    </row>
    <row r="340" spans="1:4" x14ac:dyDescent="0.3">
      <c r="A340">
        <v>0.28000000000000003</v>
      </c>
      <c r="D340">
        <v>0.28000000000000003</v>
      </c>
    </row>
    <row r="341" spans="1:4" x14ac:dyDescent="0.3">
      <c r="A341">
        <v>0.3</v>
      </c>
      <c r="D341">
        <v>0.3</v>
      </c>
    </row>
    <row r="342" spans="1:4" x14ac:dyDescent="0.3">
      <c r="A342">
        <v>0.3</v>
      </c>
      <c r="D342">
        <v>0.3</v>
      </c>
    </row>
    <row r="343" spans="1:4" x14ac:dyDescent="0.3">
      <c r="A343">
        <v>0.32</v>
      </c>
      <c r="D343">
        <v>0.32</v>
      </c>
    </row>
    <row r="344" spans="1:4" x14ac:dyDescent="0.3">
      <c r="A344">
        <v>0.33</v>
      </c>
      <c r="D344">
        <v>0.33</v>
      </c>
    </row>
    <row r="345" spans="1:4" x14ac:dyDescent="0.3">
      <c r="A345">
        <v>0.34</v>
      </c>
      <c r="D345">
        <v>0.34</v>
      </c>
    </row>
    <row r="346" spans="1:4" x14ac:dyDescent="0.3">
      <c r="A346">
        <v>0.35</v>
      </c>
      <c r="D346">
        <v>0.35</v>
      </c>
    </row>
    <row r="347" spans="1:4" x14ac:dyDescent="0.3">
      <c r="A347">
        <v>0.35</v>
      </c>
      <c r="D347">
        <v>0.35</v>
      </c>
    </row>
    <row r="348" spans="1:4" x14ac:dyDescent="0.3">
      <c r="A348">
        <v>0.35</v>
      </c>
      <c r="D348">
        <v>0.35</v>
      </c>
    </row>
    <row r="349" spans="1:4" x14ac:dyDescent="0.3">
      <c r="A349">
        <v>0.36</v>
      </c>
      <c r="D349">
        <v>0.36</v>
      </c>
    </row>
    <row r="350" spans="1:4" x14ac:dyDescent="0.3">
      <c r="A350">
        <v>0.36</v>
      </c>
      <c r="D350">
        <v>0.36</v>
      </c>
    </row>
    <row r="351" spans="1:4" x14ac:dyDescent="0.3">
      <c r="A351">
        <v>0.37</v>
      </c>
      <c r="D351">
        <v>0.37</v>
      </c>
    </row>
    <row r="352" spans="1:4" x14ac:dyDescent="0.3">
      <c r="A352">
        <v>0.39</v>
      </c>
      <c r="D352">
        <v>0.39</v>
      </c>
    </row>
    <row r="353" spans="1:4" x14ac:dyDescent="0.3">
      <c r="A353">
        <v>0.4</v>
      </c>
      <c r="D353">
        <v>0.4</v>
      </c>
    </row>
    <row r="354" spans="1:4" x14ac:dyDescent="0.3">
      <c r="A354">
        <v>0.4</v>
      </c>
      <c r="D354">
        <v>0.4</v>
      </c>
    </row>
    <row r="355" spans="1:4" x14ac:dyDescent="0.3">
      <c r="A355">
        <v>0.41</v>
      </c>
      <c r="D355">
        <v>0.41</v>
      </c>
    </row>
    <row r="356" spans="1:4" x14ac:dyDescent="0.3">
      <c r="A356">
        <v>0.42</v>
      </c>
      <c r="D356">
        <v>0.42</v>
      </c>
    </row>
    <row r="357" spans="1:4" x14ac:dyDescent="0.3">
      <c r="A357">
        <v>0.42</v>
      </c>
      <c r="D357">
        <v>0.42</v>
      </c>
    </row>
    <row r="358" spans="1:4" x14ac:dyDescent="0.3">
      <c r="A358">
        <v>0.43</v>
      </c>
      <c r="D358">
        <v>0.43</v>
      </c>
    </row>
    <row r="359" spans="1:4" x14ac:dyDescent="0.3">
      <c r="A359">
        <v>0.43</v>
      </c>
      <c r="D359">
        <v>0.43</v>
      </c>
    </row>
    <row r="360" spans="1:4" x14ac:dyDescent="0.3">
      <c r="A360">
        <v>0.43</v>
      </c>
      <c r="D360">
        <v>0.43</v>
      </c>
    </row>
    <row r="361" spans="1:4" x14ac:dyDescent="0.3">
      <c r="A361">
        <v>0.45</v>
      </c>
      <c r="D361">
        <v>0.45</v>
      </c>
    </row>
    <row r="362" spans="1:4" x14ac:dyDescent="0.3">
      <c r="A362">
        <v>0.45</v>
      </c>
      <c r="D362">
        <v>0.45</v>
      </c>
    </row>
    <row r="363" spans="1:4" x14ac:dyDescent="0.3">
      <c r="A363">
        <v>0.46</v>
      </c>
      <c r="D363">
        <v>0.46</v>
      </c>
    </row>
    <row r="364" spans="1:4" x14ac:dyDescent="0.3">
      <c r="A364">
        <v>0.47</v>
      </c>
      <c r="D364">
        <v>0.47</v>
      </c>
    </row>
    <row r="365" spans="1:4" x14ac:dyDescent="0.3">
      <c r="A365">
        <v>0.47</v>
      </c>
      <c r="D365">
        <v>0.47</v>
      </c>
    </row>
    <row r="366" spans="1:4" x14ac:dyDescent="0.3">
      <c r="A366">
        <v>0.48</v>
      </c>
      <c r="D366">
        <v>0.48</v>
      </c>
    </row>
    <row r="367" spans="1:4" x14ac:dyDescent="0.3">
      <c r="A367">
        <v>0.48</v>
      </c>
      <c r="D367">
        <v>0.48</v>
      </c>
    </row>
    <row r="368" spans="1:4" x14ac:dyDescent="0.3">
      <c r="A368">
        <v>0.49</v>
      </c>
      <c r="D368">
        <v>0.49</v>
      </c>
    </row>
    <row r="369" spans="1:4" x14ac:dyDescent="0.3">
      <c r="A369">
        <v>0.49</v>
      </c>
      <c r="D369">
        <v>0.49</v>
      </c>
    </row>
    <row r="370" spans="1:4" x14ac:dyDescent="0.3">
      <c r="A370">
        <v>0.5</v>
      </c>
      <c r="D370">
        <v>0.5</v>
      </c>
    </row>
    <row r="371" spans="1:4" x14ac:dyDescent="0.3">
      <c r="A371">
        <v>0.5</v>
      </c>
      <c r="D371">
        <v>0.5</v>
      </c>
    </row>
    <row r="372" spans="1:4" x14ac:dyDescent="0.3">
      <c r="A372">
        <v>0.5</v>
      </c>
      <c r="D372">
        <v>0.5</v>
      </c>
    </row>
    <row r="373" spans="1:4" x14ac:dyDescent="0.3">
      <c r="A373">
        <v>0.51</v>
      </c>
      <c r="D373">
        <v>0.51</v>
      </c>
    </row>
    <row r="374" spans="1:4" x14ac:dyDescent="0.3">
      <c r="A374">
        <v>0.52</v>
      </c>
      <c r="D374">
        <v>0.52</v>
      </c>
    </row>
    <row r="375" spans="1:4" x14ac:dyDescent="0.3">
      <c r="A375">
        <v>0.52</v>
      </c>
      <c r="D375">
        <v>0.52</v>
      </c>
    </row>
    <row r="376" spans="1:4" x14ac:dyDescent="0.3">
      <c r="A376">
        <v>0.52</v>
      </c>
      <c r="D376">
        <v>0.52</v>
      </c>
    </row>
    <row r="377" spans="1:4" x14ac:dyDescent="0.3">
      <c r="A377">
        <v>0.54</v>
      </c>
      <c r="D377">
        <v>0.54</v>
      </c>
    </row>
    <row r="378" spans="1:4" x14ac:dyDescent="0.3">
      <c r="A378">
        <v>0.55000000000000004</v>
      </c>
      <c r="D378">
        <v>0.55000000000000004</v>
      </c>
    </row>
    <row r="379" spans="1:4" x14ac:dyDescent="0.3">
      <c r="A379">
        <v>0.56000000000000005</v>
      </c>
      <c r="D379">
        <v>0.56000000000000005</v>
      </c>
    </row>
    <row r="380" spans="1:4" x14ac:dyDescent="0.3">
      <c r="A380">
        <v>0.56000000000000005</v>
      </c>
      <c r="D380">
        <v>0.56000000000000005</v>
      </c>
    </row>
    <row r="381" spans="1:4" x14ac:dyDescent="0.3">
      <c r="A381">
        <v>0.56999999999999995</v>
      </c>
      <c r="D381">
        <v>0.56999999999999995</v>
      </c>
    </row>
    <row r="382" spans="1:4" x14ac:dyDescent="0.3">
      <c r="A382">
        <v>0.6</v>
      </c>
      <c r="D382">
        <v>0.6</v>
      </c>
    </row>
    <row r="383" spans="1:4" x14ac:dyDescent="0.3">
      <c r="A383">
        <v>0.6</v>
      </c>
      <c r="D383">
        <v>0.6</v>
      </c>
    </row>
    <row r="384" spans="1:4" x14ac:dyDescent="0.3">
      <c r="A384">
        <v>0.62</v>
      </c>
      <c r="D384">
        <v>0.62</v>
      </c>
    </row>
    <row r="385" spans="1:4" x14ac:dyDescent="0.3">
      <c r="A385">
        <v>0.62</v>
      </c>
      <c r="D385">
        <v>0.62</v>
      </c>
    </row>
    <row r="386" spans="1:4" x14ac:dyDescent="0.3">
      <c r="A386">
        <v>0.62</v>
      </c>
      <c r="D386">
        <v>0.62</v>
      </c>
    </row>
    <row r="387" spans="1:4" x14ac:dyDescent="0.3">
      <c r="A387">
        <v>0.63</v>
      </c>
      <c r="D387">
        <v>0.63</v>
      </c>
    </row>
    <row r="388" spans="1:4" x14ac:dyDescent="0.3">
      <c r="A388">
        <v>0.63</v>
      </c>
      <c r="D388">
        <v>0.63</v>
      </c>
    </row>
    <row r="389" spans="1:4" x14ac:dyDescent="0.3">
      <c r="A389">
        <v>0.63</v>
      </c>
      <c r="D389">
        <v>0.63</v>
      </c>
    </row>
    <row r="390" spans="1:4" x14ac:dyDescent="0.3">
      <c r="A390">
        <v>0.63</v>
      </c>
      <c r="D390">
        <v>0.63</v>
      </c>
    </row>
    <row r="391" spans="1:4" x14ac:dyDescent="0.3">
      <c r="A391">
        <v>0.65</v>
      </c>
      <c r="D391">
        <v>0.65</v>
      </c>
    </row>
    <row r="392" spans="1:4" x14ac:dyDescent="0.3">
      <c r="A392">
        <v>0.65</v>
      </c>
      <c r="D392">
        <v>0.65</v>
      </c>
    </row>
    <row r="393" spans="1:4" x14ac:dyDescent="0.3">
      <c r="A393">
        <v>0.66</v>
      </c>
      <c r="D393">
        <v>0.66</v>
      </c>
    </row>
    <row r="394" spans="1:4" x14ac:dyDescent="0.3">
      <c r="A394">
        <v>0.66</v>
      </c>
      <c r="D394">
        <v>0.66</v>
      </c>
    </row>
    <row r="395" spans="1:4" x14ac:dyDescent="0.3">
      <c r="A395">
        <v>0.67</v>
      </c>
      <c r="D395">
        <v>0.67</v>
      </c>
    </row>
    <row r="396" spans="1:4" x14ac:dyDescent="0.3">
      <c r="A396">
        <v>0.67</v>
      </c>
      <c r="D396">
        <v>0.67</v>
      </c>
    </row>
    <row r="397" spans="1:4" x14ac:dyDescent="0.3">
      <c r="A397">
        <v>0.67</v>
      </c>
      <c r="D397">
        <v>0.67</v>
      </c>
    </row>
    <row r="398" spans="1:4" x14ac:dyDescent="0.3">
      <c r="A398">
        <v>0.67</v>
      </c>
      <c r="D398">
        <v>0.67</v>
      </c>
    </row>
    <row r="399" spans="1:4" x14ac:dyDescent="0.3">
      <c r="A399">
        <v>0.67</v>
      </c>
      <c r="D399">
        <v>0.67</v>
      </c>
    </row>
    <row r="400" spans="1:4" x14ac:dyDescent="0.3">
      <c r="A400">
        <v>0.68</v>
      </c>
      <c r="D400">
        <v>0.68</v>
      </c>
    </row>
    <row r="401" spans="1:4" x14ac:dyDescent="0.3">
      <c r="A401">
        <v>0.68</v>
      </c>
      <c r="D401">
        <v>0.68</v>
      </c>
    </row>
    <row r="402" spans="1:4" x14ac:dyDescent="0.3">
      <c r="A402">
        <v>0.69</v>
      </c>
      <c r="D402">
        <v>0.69</v>
      </c>
    </row>
    <row r="403" spans="1:4" x14ac:dyDescent="0.3">
      <c r="A403">
        <v>0.7</v>
      </c>
      <c r="D403">
        <v>0.7</v>
      </c>
    </row>
    <row r="404" spans="1:4" x14ac:dyDescent="0.3">
      <c r="A404">
        <v>0.7</v>
      </c>
      <c r="D404">
        <v>0.7</v>
      </c>
    </row>
    <row r="405" spans="1:4" x14ac:dyDescent="0.3">
      <c r="A405">
        <v>0.7</v>
      </c>
      <c r="D405">
        <v>0.7</v>
      </c>
    </row>
    <row r="406" spans="1:4" x14ac:dyDescent="0.3">
      <c r="A406">
        <v>0.7</v>
      </c>
      <c r="D406">
        <v>0.7</v>
      </c>
    </row>
    <row r="407" spans="1:4" x14ac:dyDescent="0.3">
      <c r="A407">
        <v>0.71</v>
      </c>
      <c r="D407">
        <v>0.71</v>
      </c>
    </row>
    <row r="408" spans="1:4" x14ac:dyDescent="0.3">
      <c r="A408">
        <v>0.72</v>
      </c>
      <c r="D408">
        <v>0.72</v>
      </c>
    </row>
    <row r="409" spans="1:4" x14ac:dyDescent="0.3">
      <c r="A409">
        <v>0.73</v>
      </c>
      <c r="D409">
        <v>0.73</v>
      </c>
    </row>
    <row r="410" spans="1:4" x14ac:dyDescent="0.3">
      <c r="A410">
        <v>0.73</v>
      </c>
      <c r="D410">
        <v>0.73</v>
      </c>
    </row>
    <row r="411" spans="1:4" x14ac:dyDescent="0.3">
      <c r="A411">
        <v>0.75</v>
      </c>
      <c r="D411">
        <v>0.75</v>
      </c>
    </row>
    <row r="412" spans="1:4" x14ac:dyDescent="0.3">
      <c r="A412">
        <v>0.75</v>
      </c>
      <c r="D412">
        <v>0.75</v>
      </c>
    </row>
    <row r="413" spans="1:4" x14ac:dyDescent="0.3">
      <c r="A413">
        <v>0.77</v>
      </c>
      <c r="D413">
        <v>0.77</v>
      </c>
    </row>
    <row r="414" spans="1:4" x14ac:dyDescent="0.3">
      <c r="A414">
        <v>0.77</v>
      </c>
      <c r="D414">
        <v>0.77</v>
      </c>
    </row>
    <row r="415" spans="1:4" x14ac:dyDescent="0.3">
      <c r="A415">
        <v>0.79</v>
      </c>
      <c r="D415">
        <v>0.79</v>
      </c>
    </row>
    <row r="416" spans="1:4" x14ac:dyDescent="0.3">
      <c r="A416">
        <v>0.8</v>
      </c>
      <c r="D416">
        <v>0.8</v>
      </c>
    </row>
    <row r="417" spans="1:4" x14ac:dyDescent="0.3">
      <c r="A417">
        <v>0.81</v>
      </c>
      <c r="D417">
        <v>0.81</v>
      </c>
    </row>
    <row r="418" spans="1:4" x14ac:dyDescent="0.3">
      <c r="A418">
        <v>0.83</v>
      </c>
      <c r="D418">
        <v>0.83</v>
      </c>
    </row>
    <row r="419" spans="1:4" x14ac:dyDescent="0.3">
      <c r="A419">
        <v>0.83</v>
      </c>
      <c r="D419">
        <v>0.83</v>
      </c>
    </row>
    <row r="420" spans="1:4" x14ac:dyDescent="0.3">
      <c r="A420">
        <v>0.83</v>
      </c>
      <c r="D420">
        <v>0.83</v>
      </c>
    </row>
    <row r="421" spans="1:4" x14ac:dyDescent="0.3">
      <c r="A421">
        <v>0.84</v>
      </c>
      <c r="D421">
        <v>0.84</v>
      </c>
    </row>
    <row r="422" spans="1:4" x14ac:dyDescent="0.3">
      <c r="A422">
        <v>0.86</v>
      </c>
      <c r="D422">
        <v>0.86</v>
      </c>
    </row>
    <row r="423" spans="1:4" x14ac:dyDescent="0.3">
      <c r="A423">
        <v>0.87</v>
      </c>
      <c r="D423">
        <v>0.87</v>
      </c>
    </row>
    <row r="424" spans="1:4" x14ac:dyDescent="0.3">
      <c r="A424">
        <v>0.87</v>
      </c>
      <c r="D424">
        <v>0.87</v>
      </c>
    </row>
    <row r="425" spans="1:4" x14ac:dyDescent="0.3">
      <c r="A425">
        <v>0.89</v>
      </c>
      <c r="D425">
        <v>0.89</v>
      </c>
    </row>
    <row r="426" spans="1:4" x14ac:dyDescent="0.3">
      <c r="A426">
        <v>0.89</v>
      </c>
      <c r="D426">
        <v>0.89</v>
      </c>
    </row>
    <row r="427" spans="1:4" x14ac:dyDescent="0.3">
      <c r="A427">
        <v>0.91</v>
      </c>
      <c r="D427">
        <v>0.91</v>
      </c>
    </row>
    <row r="428" spans="1:4" x14ac:dyDescent="0.3">
      <c r="A428">
        <v>0.92</v>
      </c>
      <c r="D428">
        <v>0.92</v>
      </c>
    </row>
    <row r="429" spans="1:4" x14ac:dyDescent="0.3">
      <c r="A429">
        <v>0.92</v>
      </c>
      <c r="D429">
        <v>0.92</v>
      </c>
    </row>
    <row r="430" spans="1:4" x14ac:dyDescent="0.3">
      <c r="A430">
        <v>0.93</v>
      </c>
      <c r="D430">
        <v>0.93</v>
      </c>
    </row>
    <row r="431" spans="1:4" x14ac:dyDescent="0.3">
      <c r="A431">
        <v>0.94</v>
      </c>
      <c r="D431">
        <v>0.94</v>
      </c>
    </row>
    <row r="432" spans="1:4" x14ac:dyDescent="0.3">
      <c r="A432">
        <v>0.95</v>
      </c>
      <c r="D432">
        <v>0.95</v>
      </c>
    </row>
    <row r="433" spans="1:4" x14ac:dyDescent="0.3">
      <c r="A433">
        <v>0.96</v>
      </c>
      <c r="D433">
        <v>0.96</v>
      </c>
    </row>
    <row r="434" spans="1:4" x14ac:dyDescent="0.3">
      <c r="A434">
        <v>0.97</v>
      </c>
      <c r="D434">
        <v>0.97</v>
      </c>
    </row>
    <row r="435" spans="1:4" x14ac:dyDescent="0.3">
      <c r="A435">
        <v>0.97</v>
      </c>
      <c r="D435">
        <v>0.97</v>
      </c>
    </row>
    <row r="436" spans="1:4" x14ac:dyDescent="0.3">
      <c r="A436">
        <v>0.98</v>
      </c>
      <c r="D436">
        <v>0.98</v>
      </c>
    </row>
    <row r="437" spans="1:4" x14ac:dyDescent="0.3">
      <c r="A437">
        <v>0.99</v>
      </c>
      <c r="D437">
        <v>0.99</v>
      </c>
    </row>
    <row r="438" spans="1:4" x14ac:dyDescent="0.3">
      <c r="A438">
        <v>0.99</v>
      </c>
      <c r="D438">
        <v>0.99</v>
      </c>
    </row>
    <row r="439" spans="1:4" x14ac:dyDescent="0.3">
      <c r="A439">
        <v>0.99</v>
      </c>
      <c r="D439">
        <v>0.99</v>
      </c>
    </row>
    <row r="440" spans="1:4" x14ac:dyDescent="0.3">
      <c r="A440">
        <v>1</v>
      </c>
      <c r="D440">
        <v>1</v>
      </c>
    </row>
    <row r="441" spans="1:4" x14ac:dyDescent="0.3">
      <c r="A441">
        <v>1.01</v>
      </c>
      <c r="D441">
        <v>1.01</v>
      </c>
    </row>
    <row r="442" spans="1:4" x14ac:dyDescent="0.3">
      <c r="A442">
        <v>1.02</v>
      </c>
      <c r="D442">
        <v>1.02</v>
      </c>
    </row>
    <row r="443" spans="1:4" x14ac:dyDescent="0.3">
      <c r="A443">
        <v>1.02</v>
      </c>
      <c r="D443">
        <v>1.02</v>
      </c>
    </row>
    <row r="444" spans="1:4" x14ac:dyDescent="0.3">
      <c r="A444">
        <v>1.04</v>
      </c>
      <c r="D444">
        <v>1.04</v>
      </c>
    </row>
    <row r="445" spans="1:4" x14ac:dyDescent="0.3">
      <c r="A445">
        <v>1.05</v>
      </c>
      <c r="D445">
        <v>1.05</v>
      </c>
    </row>
    <row r="446" spans="1:4" x14ac:dyDescent="0.3">
      <c r="A446">
        <v>1.05</v>
      </c>
      <c r="D446">
        <v>1.05</v>
      </c>
    </row>
    <row r="447" spans="1:4" x14ac:dyDescent="0.3">
      <c r="A447">
        <v>1.05</v>
      </c>
      <c r="D447">
        <v>1.05</v>
      </c>
    </row>
    <row r="448" spans="1:4" x14ac:dyDescent="0.3">
      <c r="A448">
        <v>1.06</v>
      </c>
      <c r="D448">
        <v>1.06</v>
      </c>
    </row>
    <row r="449" spans="1:4" x14ac:dyDescent="0.3">
      <c r="A449">
        <v>1.07</v>
      </c>
      <c r="D449">
        <v>1.07</v>
      </c>
    </row>
    <row r="450" spans="1:4" x14ac:dyDescent="0.3">
      <c r="A450">
        <v>1.07</v>
      </c>
      <c r="D450">
        <v>1.07</v>
      </c>
    </row>
    <row r="451" spans="1:4" x14ac:dyDescent="0.3">
      <c r="A451">
        <v>1.07</v>
      </c>
      <c r="D451">
        <v>1.07</v>
      </c>
    </row>
    <row r="452" spans="1:4" x14ac:dyDescent="0.3">
      <c r="A452">
        <v>1.08</v>
      </c>
      <c r="D452">
        <v>1.08</v>
      </c>
    </row>
    <row r="453" spans="1:4" x14ac:dyDescent="0.3">
      <c r="A453">
        <v>1.1000000000000001</v>
      </c>
      <c r="D453">
        <v>1.1000000000000001</v>
      </c>
    </row>
    <row r="454" spans="1:4" x14ac:dyDescent="0.3">
      <c r="A454">
        <v>1.1000000000000001</v>
      </c>
      <c r="D454">
        <v>1.1000000000000001</v>
      </c>
    </row>
    <row r="455" spans="1:4" x14ac:dyDescent="0.3">
      <c r="A455">
        <v>1.1100000000000001</v>
      </c>
      <c r="D455">
        <v>1.1100000000000001</v>
      </c>
    </row>
    <row r="456" spans="1:4" x14ac:dyDescent="0.3">
      <c r="A456">
        <v>1.1100000000000001</v>
      </c>
      <c r="D456">
        <v>1.1100000000000001</v>
      </c>
    </row>
    <row r="457" spans="1:4" x14ac:dyDescent="0.3">
      <c r="A457">
        <v>1.1100000000000001</v>
      </c>
      <c r="D457">
        <v>1.1100000000000001</v>
      </c>
    </row>
    <row r="458" spans="1:4" x14ac:dyDescent="0.3">
      <c r="A458">
        <v>1.1200000000000001</v>
      </c>
      <c r="D458">
        <v>1.1200000000000001</v>
      </c>
    </row>
    <row r="459" spans="1:4" x14ac:dyDescent="0.3">
      <c r="A459">
        <v>1.1200000000000001</v>
      </c>
      <c r="D459">
        <v>1.1200000000000001</v>
      </c>
    </row>
    <row r="460" spans="1:4" x14ac:dyDescent="0.3">
      <c r="A460">
        <v>1.1299999999999999</v>
      </c>
      <c r="D460">
        <v>1.1299999999999999</v>
      </c>
    </row>
    <row r="461" spans="1:4" x14ac:dyDescent="0.3">
      <c r="A461">
        <v>1.1399999999999999</v>
      </c>
      <c r="D461">
        <v>1.1399999999999999</v>
      </c>
    </row>
    <row r="462" spans="1:4" x14ac:dyDescent="0.3">
      <c r="A462">
        <v>1.1499999999999999</v>
      </c>
      <c r="D462">
        <v>1.1499999999999999</v>
      </c>
    </row>
    <row r="463" spans="1:4" x14ac:dyDescent="0.3">
      <c r="A463">
        <v>1.1499999999999999</v>
      </c>
      <c r="D463">
        <v>1.1499999999999999</v>
      </c>
    </row>
    <row r="464" spans="1:4" x14ac:dyDescent="0.3">
      <c r="A464">
        <v>1.1599999999999999</v>
      </c>
      <c r="D464">
        <v>1.1599999999999999</v>
      </c>
    </row>
    <row r="465" spans="1:4" x14ac:dyDescent="0.3">
      <c r="A465">
        <v>1.18</v>
      </c>
      <c r="D465">
        <v>1.18</v>
      </c>
    </row>
    <row r="466" spans="1:4" x14ac:dyDescent="0.3">
      <c r="A466">
        <v>1.19</v>
      </c>
      <c r="D466">
        <v>1.19</v>
      </c>
    </row>
    <row r="467" spans="1:4" x14ac:dyDescent="0.3">
      <c r="A467">
        <v>1.21</v>
      </c>
      <c r="D467">
        <v>1.21</v>
      </c>
    </row>
    <row r="468" spans="1:4" x14ac:dyDescent="0.3">
      <c r="A468">
        <v>1.25</v>
      </c>
      <c r="D468">
        <v>1.25</v>
      </c>
    </row>
    <row r="469" spans="1:4" x14ac:dyDescent="0.3">
      <c r="A469">
        <v>1.26</v>
      </c>
      <c r="D469">
        <v>1.26</v>
      </c>
    </row>
    <row r="470" spans="1:4" x14ac:dyDescent="0.3">
      <c r="A470">
        <v>1.27</v>
      </c>
      <c r="D470">
        <v>1.27</v>
      </c>
    </row>
    <row r="471" spans="1:4" x14ac:dyDescent="0.3">
      <c r="A471">
        <v>1.27</v>
      </c>
      <c r="D471">
        <v>1.27</v>
      </c>
    </row>
    <row r="472" spans="1:4" x14ac:dyDescent="0.3">
      <c r="A472">
        <v>1.3</v>
      </c>
      <c r="D472">
        <v>1.3</v>
      </c>
    </row>
    <row r="473" spans="1:4" x14ac:dyDescent="0.3">
      <c r="A473">
        <v>1.31</v>
      </c>
      <c r="D473">
        <v>1.31</v>
      </c>
    </row>
    <row r="474" spans="1:4" x14ac:dyDescent="0.3">
      <c r="A474">
        <v>1.36</v>
      </c>
      <c r="D474">
        <v>1.36</v>
      </c>
    </row>
    <row r="475" spans="1:4" x14ac:dyDescent="0.3">
      <c r="A475">
        <v>1.38</v>
      </c>
      <c r="D475">
        <v>1.38</v>
      </c>
    </row>
    <row r="476" spans="1:4" x14ac:dyDescent="0.3">
      <c r="A476">
        <v>1.38</v>
      </c>
      <c r="D476">
        <v>1.38</v>
      </c>
    </row>
    <row r="477" spans="1:4" x14ac:dyDescent="0.3">
      <c r="A477">
        <v>1.39</v>
      </c>
      <c r="D477">
        <v>1.39</v>
      </c>
    </row>
    <row r="478" spans="1:4" x14ac:dyDescent="0.3">
      <c r="A478">
        <v>1.39</v>
      </c>
      <c r="D478">
        <v>1.39</v>
      </c>
    </row>
    <row r="479" spans="1:4" x14ac:dyDescent="0.3">
      <c r="A479">
        <v>1.42</v>
      </c>
      <c r="D479">
        <v>1.42</v>
      </c>
    </row>
    <row r="480" spans="1:4" x14ac:dyDescent="0.3">
      <c r="A480">
        <v>1.43</v>
      </c>
      <c r="D480">
        <v>1.43</v>
      </c>
    </row>
    <row r="481" spans="1:4" x14ac:dyDescent="0.3">
      <c r="A481">
        <v>1.45</v>
      </c>
      <c r="D481">
        <v>1.45</v>
      </c>
    </row>
    <row r="482" spans="1:4" x14ac:dyDescent="0.3">
      <c r="A482">
        <v>1.46</v>
      </c>
      <c r="D482">
        <v>1.46</v>
      </c>
    </row>
    <row r="483" spans="1:4" x14ac:dyDescent="0.3">
      <c r="A483">
        <v>1.46</v>
      </c>
      <c r="D483">
        <v>1.46</v>
      </c>
    </row>
    <row r="484" spans="1:4" x14ac:dyDescent="0.3">
      <c r="A484">
        <v>1.49</v>
      </c>
      <c r="D484">
        <v>1.49</v>
      </c>
    </row>
    <row r="485" spans="1:4" x14ac:dyDescent="0.3">
      <c r="A485">
        <v>1.52</v>
      </c>
      <c r="D485">
        <v>1.52</v>
      </c>
    </row>
    <row r="486" spans="1:4" x14ac:dyDescent="0.3">
      <c r="A486">
        <v>1.52</v>
      </c>
      <c r="D486">
        <v>1.52</v>
      </c>
    </row>
    <row r="487" spans="1:4" x14ac:dyDescent="0.3">
      <c r="A487">
        <v>1.53</v>
      </c>
      <c r="D487">
        <v>1.53</v>
      </c>
    </row>
    <row r="488" spans="1:4" x14ac:dyDescent="0.3">
      <c r="A488">
        <v>1.55</v>
      </c>
      <c r="D488">
        <v>1.55</v>
      </c>
    </row>
    <row r="489" spans="1:4" x14ac:dyDescent="0.3">
      <c r="A489">
        <v>1.56</v>
      </c>
      <c r="D489">
        <v>1.56</v>
      </c>
    </row>
    <row r="490" spans="1:4" x14ac:dyDescent="0.3">
      <c r="A490">
        <v>1.56</v>
      </c>
      <c r="D490">
        <v>1.56</v>
      </c>
    </row>
    <row r="491" spans="1:4" x14ac:dyDescent="0.3">
      <c r="A491">
        <v>1.58</v>
      </c>
      <c r="D491">
        <v>1.58</v>
      </c>
    </row>
    <row r="492" spans="1:4" x14ac:dyDescent="0.3">
      <c r="A492">
        <v>1.58</v>
      </c>
      <c r="D492">
        <v>1.58</v>
      </c>
    </row>
    <row r="493" spans="1:4" x14ac:dyDescent="0.3">
      <c r="A493">
        <v>1.58</v>
      </c>
      <c r="D493">
        <v>1.58</v>
      </c>
    </row>
    <row r="494" spans="1:4" x14ac:dyDescent="0.3">
      <c r="A494">
        <v>1.59</v>
      </c>
      <c r="D494">
        <v>1.59</v>
      </c>
    </row>
    <row r="495" spans="1:4" x14ac:dyDescent="0.3">
      <c r="A495">
        <v>1.59</v>
      </c>
      <c r="D495">
        <v>1.59</v>
      </c>
    </row>
    <row r="496" spans="1:4" x14ac:dyDescent="0.3">
      <c r="A496">
        <v>1.6</v>
      </c>
      <c r="D496">
        <v>1.6</v>
      </c>
    </row>
    <row r="497" spans="1:4" x14ac:dyDescent="0.3">
      <c r="A497">
        <v>1.62</v>
      </c>
      <c r="D497">
        <v>1.62</v>
      </c>
    </row>
    <row r="498" spans="1:4" x14ac:dyDescent="0.3">
      <c r="A498">
        <v>1.62</v>
      </c>
      <c r="D498">
        <v>1.62</v>
      </c>
    </row>
    <row r="499" spans="1:4" x14ac:dyDescent="0.3">
      <c r="A499">
        <v>1.63</v>
      </c>
      <c r="D499">
        <v>1.63</v>
      </c>
    </row>
    <row r="500" spans="1:4" x14ac:dyDescent="0.3">
      <c r="A500">
        <v>1.63</v>
      </c>
      <c r="D500">
        <v>1.63</v>
      </c>
    </row>
    <row r="501" spans="1:4" x14ac:dyDescent="0.3">
      <c r="A501">
        <v>1.68</v>
      </c>
      <c r="D501">
        <v>1.68</v>
      </c>
    </row>
    <row r="502" spans="1:4" x14ac:dyDescent="0.3">
      <c r="A502">
        <v>1.7</v>
      </c>
      <c r="D502">
        <v>1.7</v>
      </c>
    </row>
    <row r="503" spans="1:4" x14ac:dyDescent="0.3">
      <c r="A503">
        <v>1.76</v>
      </c>
      <c r="D503">
        <v>1.76</v>
      </c>
    </row>
    <row r="504" spans="1:4" x14ac:dyDescent="0.3">
      <c r="A504">
        <v>1.84</v>
      </c>
      <c r="D504">
        <v>1.84</v>
      </c>
    </row>
    <row r="505" spans="1:4" x14ac:dyDescent="0.3">
      <c r="A505">
        <v>1.86</v>
      </c>
      <c r="D505">
        <v>1.86</v>
      </c>
    </row>
    <row r="506" spans="1:4" x14ac:dyDescent="0.3">
      <c r="A506">
        <v>1.88</v>
      </c>
      <c r="D506">
        <v>1.88</v>
      </c>
    </row>
    <row r="507" spans="1:4" x14ac:dyDescent="0.3">
      <c r="A507">
        <v>1.88</v>
      </c>
      <c r="D507">
        <v>1.88</v>
      </c>
    </row>
    <row r="508" spans="1:4" x14ac:dyDescent="0.3">
      <c r="A508">
        <v>1.88</v>
      </c>
      <c r="D508">
        <v>1.88</v>
      </c>
    </row>
    <row r="509" spans="1:4" x14ac:dyDescent="0.3">
      <c r="A509">
        <v>1.94</v>
      </c>
      <c r="D509">
        <v>1.94</v>
      </c>
    </row>
    <row r="510" spans="1:4" x14ac:dyDescent="0.3">
      <c r="A510">
        <v>1.96</v>
      </c>
      <c r="D510">
        <v>1.96</v>
      </c>
    </row>
    <row r="511" spans="1:4" x14ac:dyDescent="0.3">
      <c r="A511">
        <v>1.96</v>
      </c>
      <c r="D511">
        <v>1.96</v>
      </c>
    </row>
    <row r="512" spans="1:4" x14ac:dyDescent="0.3">
      <c r="A512">
        <v>2</v>
      </c>
      <c r="D512">
        <v>2</v>
      </c>
    </row>
    <row r="513" spans="1:4" x14ac:dyDescent="0.3">
      <c r="A513">
        <v>2.0699999999999998</v>
      </c>
      <c r="D513">
        <v>2.0699999999999998</v>
      </c>
    </row>
    <row r="514" spans="1:4" x14ac:dyDescent="0.3">
      <c r="A514">
        <v>2.08</v>
      </c>
      <c r="D514">
        <v>2.08</v>
      </c>
    </row>
    <row r="515" spans="1:4" x14ac:dyDescent="0.3">
      <c r="A515">
        <v>2.09</v>
      </c>
      <c r="D515">
        <v>2.09</v>
      </c>
    </row>
    <row r="516" spans="1:4" x14ac:dyDescent="0.3">
      <c r="A516">
        <v>2.11</v>
      </c>
      <c r="D516">
        <v>2.11</v>
      </c>
    </row>
    <row r="517" spans="1:4" x14ac:dyDescent="0.3">
      <c r="A517">
        <v>2.12</v>
      </c>
      <c r="D517">
        <v>2.12</v>
      </c>
    </row>
    <row r="518" spans="1:4" x14ac:dyDescent="0.3">
      <c r="A518">
        <v>2.13</v>
      </c>
      <c r="D518">
        <v>2.13</v>
      </c>
    </row>
    <row r="519" spans="1:4" x14ac:dyDescent="0.3">
      <c r="A519">
        <v>2.15</v>
      </c>
      <c r="D519">
        <v>2.15</v>
      </c>
    </row>
    <row r="520" spans="1:4" x14ac:dyDescent="0.3">
      <c r="A520">
        <v>2.21</v>
      </c>
      <c r="D520">
        <v>2.21</v>
      </c>
    </row>
    <row r="521" spans="1:4" x14ac:dyDescent="0.3">
      <c r="A521">
        <v>2.2200000000000002</v>
      </c>
      <c r="D521">
        <v>2.2200000000000002</v>
      </c>
    </row>
    <row r="522" spans="1:4" x14ac:dyDescent="0.3">
      <c r="A522">
        <v>2.2200000000000002</v>
      </c>
      <c r="D522">
        <v>2.2200000000000002</v>
      </c>
    </row>
    <row r="523" spans="1:4" x14ac:dyDescent="0.3">
      <c r="A523">
        <v>2.27</v>
      </c>
      <c r="D523">
        <v>2.27</v>
      </c>
    </row>
    <row r="524" spans="1:4" x14ac:dyDescent="0.3">
      <c r="A524">
        <v>2.31</v>
      </c>
      <c r="D524">
        <v>2.31</v>
      </c>
    </row>
    <row r="525" spans="1:4" x14ac:dyDescent="0.3">
      <c r="A525">
        <v>2.35</v>
      </c>
      <c r="D525">
        <v>2.35</v>
      </c>
    </row>
    <row r="526" spans="1:4" x14ac:dyDescent="0.3">
      <c r="A526">
        <v>2.37</v>
      </c>
      <c r="D526">
        <v>2.37</v>
      </c>
    </row>
    <row r="527" spans="1:4" x14ac:dyDescent="0.3">
      <c r="A527">
        <v>2.4</v>
      </c>
      <c r="D527">
        <v>2.4</v>
      </c>
    </row>
    <row r="528" spans="1:4" x14ac:dyDescent="0.3">
      <c r="A528">
        <v>2.41</v>
      </c>
      <c r="D528">
        <v>2.41</v>
      </c>
    </row>
    <row r="529" spans="1:4" x14ac:dyDescent="0.3">
      <c r="A529">
        <v>2.4900000000000002</v>
      </c>
      <c r="D529">
        <v>2.4900000000000002</v>
      </c>
    </row>
    <row r="530" spans="1:4" x14ac:dyDescent="0.3">
      <c r="A530">
        <v>2.86</v>
      </c>
      <c r="D530">
        <v>2.86</v>
      </c>
    </row>
    <row r="531" spans="1:4" x14ac:dyDescent="0.3">
      <c r="A531">
        <v>2.9</v>
      </c>
      <c r="D531">
        <v>2.9</v>
      </c>
    </row>
    <row r="532" spans="1:4" x14ac:dyDescent="0.3">
      <c r="A532">
        <v>3.39</v>
      </c>
      <c r="D532">
        <v>3.39</v>
      </c>
    </row>
    <row r="533" spans="1:4" x14ac:dyDescent="0.3">
      <c r="A533">
        <v>3.46</v>
      </c>
      <c r="D533">
        <v>3.46</v>
      </c>
    </row>
    <row r="534" spans="1:4" x14ac:dyDescent="0.3">
      <c r="A534" t="s">
        <v>25</v>
      </c>
    </row>
    <row r="535" spans="1:4" x14ac:dyDescent="0.3">
      <c r="A535" t="s">
        <v>24</v>
      </c>
    </row>
    <row r="536" spans="1:4" x14ac:dyDescent="0.3">
      <c r="A536" t="s">
        <v>18</v>
      </c>
    </row>
    <row r="537" spans="1:4" x14ac:dyDescent="0.3">
      <c r="A537" t="s">
        <v>22</v>
      </c>
    </row>
    <row r="538" spans="1:4" x14ac:dyDescent="0.3">
      <c r="A538" t="s">
        <v>21</v>
      </c>
    </row>
    <row r="539" spans="1:4" x14ac:dyDescent="0.3">
      <c r="A539" t="s">
        <v>17</v>
      </c>
    </row>
    <row r="540" spans="1:4" x14ac:dyDescent="0.3">
      <c r="A540" t="s">
        <v>20</v>
      </c>
    </row>
    <row r="541" spans="1:4" x14ac:dyDescent="0.3">
      <c r="A541" t="s">
        <v>20</v>
      </c>
    </row>
    <row r="542" spans="1:4" x14ac:dyDescent="0.3">
      <c r="A542" t="s">
        <v>20</v>
      </c>
    </row>
    <row r="543" spans="1:4" x14ac:dyDescent="0.3">
      <c r="A543" t="s">
        <v>20</v>
      </c>
    </row>
    <row r="544" spans="1:4" x14ac:dyDescent="0.3">
      <c r="A544" t="s">
        <v>20</v>
      </c>
    </row>
    <row r="545" spans="1:1" x14ac:dyDescent="0.3">
      <c r="A545" t="s">
        <v>20</v>
      </c>
    </row>
    <row r="546" spans="1:1" x14ac:dyDescent="0.3">
      <c r="A546" t="s">
        <v>19</v>
      </c>
    </row>
    <row r="547" spans="1:1" x14ac:dyDescent="0.3">
      <c r="A547" t="s">
        <v>26</v>
      </c>
    </row>
    <row r="548" spans="1:1" x14ac:dyDescent="0.3">
      <c r="A548" t="s">
        <v>23</v>
      </c>
    </row>
    <row r="549" spans="1:1" x14ac:dyDescent="0.3">
      <c r="A549" t="s">
        <v>29</v>
      </c>
    </row>
  </sheetData>
  <sortState xmlns:xlrd2="http://schemas.microsoft.com/office/spreadsheetml/2017/richdata2" ref="A1:A16385">
    <sortCondition ref="A1:A16385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№1.1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Ольга</dc:creator>
  <cp:lastModifiedBy>Admin</cp:lastModifiedBy>
  <dcterms:created xsi:type="dcterms:W3CDTF">2015-06-05T18:19:34Z</dcterms:created>
  <dcterms:modified xsi:type="dcterms:W3CDTF">2026-04-16T07:26:10Z</dcterms:modified>
</cp:coreProperties>
</file>